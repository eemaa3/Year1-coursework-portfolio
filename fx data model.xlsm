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rlowcollege-my.sharepoint.com/personal/11248514_student_harlow-college_ac_uk/Documents/Unit 5/"/>
    </mc:Choice>
  </mc:AlternateContent>
  <xr:revisionPtr revIDLastSave="373" documentId="102_{1DBEC70E-850A-44A4-A4EB-F3DC5958FE54}" xr6:coauthVersionLast="47" xr6:coauthVersionMax="47" xr10:uidLastSave="{16911786-5CEB-486F-AD73-565B9DF025F0}"/>
  <bookViews>
    <workbookView xWindow="-120" yWindow="-120" windowWidth="20730" windowHeight="11040" activeTab="3" xr2:uid="{95A7B618-F7D6-4B84-9DDC-20A5A7AAD9DE}"/>
  </bookViews>
  <sheets>
    <sheet name="HOME" sheetId="1" r:id="rId1"/>
    <sheet name="FIXED" sheetId="2" r:id="rId2"/>
    <sheet name="MODEL" sheetId="3" r:id="rId3"/>
    <sheet name="moodboard" sheetId="7" r:id="rId4"/>
    <sheet name="Time Plan" sheetId="6" r:id="rId5"/>
    <sheet name="cheese_dropdown" sheetId="5" r:id="rId6"/>
  </sheets>
  <externalReferences>
    <externalReference r:id="rId7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3" l="1"/>
  <c r="X35" i="3"/>
  <c r="O32" i="3" l="1"/>
  <c r="P32" i="3" s="1"/>
  <c r="O33" i="3"/>
  <c r="P33" i="3" s="1"/>
  <c r="O34" i="3"/>
  <c r="P34" i="3" s="1"/>
  <c r="O35" i="3"/>
  <c r="P35" i="3" s="1"/>
  <c r="O36" i="3"/>
  <c r="P36" i="3"/>
  <c r="H47" i="2" l="1"/>
  <c r="I47" i="2" s="1"/>
  <c r="J47" i="2" s="1"/>
  <c r="K47" i="2" l="1"/>
  <c r="Q44" i="2"/>
  <c r="H48" i="2" l="1"/>
  <c r="I48" i="2" s="1"/>
  <c r="H49" i="2"/>
  <c r="I49" i="2" s="1"/>
  <c r="H50" i="2"/>
  <c r="I50" i="2" s="1"/>
  <c r="H51" i="2"/>
  <c r="I51" i="2" s="1"/>
  <c r="J50" i="2" l="1"/>
  <c r="K50" i="2" s="1"/>
  <c r="J49" i="2"/>
  <c r="K49" i="2" s="1"/>
  <c r="J48" i="2"/>
  <c r="Q49" i="2" s="1"/>
  <c r="J51" i="2"/>
  <c r="K51" i="2" s="1"/>
  <c r="K48" i="2" l="1"/>
  <c r="P44" i="2"/>
  <c r="Q34" i="3"/>
  <c r="R34" i="3" s="1"/>
  <c r="N33" i="3"/>
  <c r="S33" i="3" s="1"/>
  <c r="T33" i="3" s="1"/>
  <c r="Q35" i="3"/>
  <c r="R35" i="3" s="1"/>
  <c r="Q32" i="3"/>
  <c r="R32" i="3" s="1"/>
  <c r="Q36" i="3"/>
  <c r="N35" i="3" l="1"/>
  <c r="N34" i="3"/>
  <c r="N36" i="3"/>
  <c r="R36" i="3"/>
  <c r="N32" i="3"/>
  <c r="Q33" i="3"/>
  <c r="R33" i="3" s="1"/>
  <c r="W35" i="3" l="1"/>
  <c r="S32" i="3"/>
  <c r="T32" i="3" s="1"/>
  <c r="U32" i="3" s="1"/>
  <c r="S36" i="3"/>
  <c r="T36" i="3" s="1"/>
  <c r="U36" i="3" s="1"/>
  <c r="S34" i="3"/>
  <c r="T34" i="3" s="1"/>
  <c r="U34" i="3" s="1"/>
  <c r="S35" i="3"/>
  <c r="T35" i="3" s="1"/>
  <c r="U35" i="3" s="1"/>
  <c r="U33" i="3"/>
</calcChain>
</file>

<file path=xl/sharedStrings.xml><?xml version="1.0" encoding="utf-8"?>
<sst xmlns="http://schemas.openxmlformats.org/spreadsheetml/2006/main" count="74" uniqueCount="59">
  <si>
    <t xml:space="preserve">Dashboard </t>
  </si>
  <si>
    <t xml:space="preserve"> </t>
  </si>
  <si>
    <t>Total Profit by Cheese Type vs. Average Monthly Sales</t>
  </si>
  <si>
    <t xml:space="preserve">The Most Profitable Cheese  </t>
  </si>
  <si>
    <t>Fixed Value Metrics</t>
  </si>
  <si>
    <t xml:space="preserve">Exchange rate </t>
  </si>
  <si>
    <t>Profit Margain</t>
  </si>
  <si>
    <t xml:space="preserve">Total Profit </t>
  </si>
  <si>
    <t xml:space="preserve">Top Selling Cheese </t>
  </si>
  <si>
    <t xml:space="preserve">Cheese </t>
  </si>
  <si>
    <t>Cost per Kilo in Euro</t>
  </si>
  <si>
    <t xml:space="preserve">Average Montly Sales </t>
  </si>
  <si>
    <t xml:space="preserve">Cost per Kilo in Pounds </t>
  </si>
  <si>
    <t xml:space="preserve">Sales Price </t>
  </si>
  <si>
    <t>Profit Per Kg</t>
  </si>
  <si>
    <t>Total Profit per cheese</t>
  </si>
  <si>
    <t>Camembert</t>
  </si>
  <si>
    <t>Highest Profit Cheese</t>
  </si>
  <si>
    <t xml:space="preserve">Emmental </t>
  </si>
  <si>
    <t>Gruyere</t>
  </si>
  <si>
    <t>Edam</t>
  </si>
  <si>
    <t xml:space="preserve">Gouda </t>
  </si>
  <si>
    <t xml:space="preserve">Comparison of Fixed vs. Model Average Monthly Sales </t>
  </si>
  <si>
    <t xml:space="preserve">Metrics </t>
  </si>
  <si>
    <t>Input Profit Margain</t>
  </si>
  <si>
    <t xml:space="preserve">change profit margain? </t>
  </si>
  <si>
    <t>fx impact</t>
  </si>
  <si>
    <t xml:space="preserve">Input Exchange Rate </t>
  </si>
  <si>
    <t xml:space="preserve">Sales Change </t>
  </si>
  <si>
    <t>Price Change Ratio</t>
  </si>
  <si>
    <t>Cheeses</t>
  </si>
  <si>
    <t xml:space="preserve">Price Difference </t>
  </si>
  <si>
    <t>Sales Price</t>
  </si>
  <si>
    <t>Column1</t>
  </si>
  <si>
    <t xml:space="preserve">Average Monthly Sales </t>
  </si>
  <si>
    <t xml:space="preserve">Total Profit per cheese </t>
  </si>
  <si>
    <t xml:space="preserve">Profit Target </t>
  </si>
  <si>
    <t xml:space="preserve">Comparing Initial vs. Current Total Profit </t>
  </si>
  <si>
    <t xml:space="preserve">Target Date </t>
  </si>
  <si>
    <t>Task(s)</t>
  </si>
  <si>
    <t>Completed?</t>
  </si>
  <si>
    <t>Completion Date</t>
  </si>
  <si>
    <t>19/05/2025 </t>
  </si>
  <si>
    <t xml:space="preserve">Planning </t>
  </si>
  <si>
    <t>20/05/2025 </t>
  </si>
  <si>
    <t>26/05/2025 </t>
  </si>
  <si>
    <t xml:space="preserve">Justify the plans </t>
  </si>
  <si>
    <t>25/05/2025 </t>
  </si>
  <si>
    <t>30/05/2025 </t>
  </si>
  <si>
    <t xml:space="preserve">Develop the data model </t>
  </si>
  <si>
    <t>05/05/2025 </t>
  </si>
  <si>
    <t xml:space="preserve">Optimise data model </t>
  </si>
  <si>
    <t>06/05/2025 </t>
  </si>
  <si>
    <t>10/05/2025 </t>
  </si>
  <si>
    <t xml:space="preserve">Review the data model </t>
  </si>
  <si>
    <t>09/05/2025 </t>
  </si>
  <si>
    <t>12/05/2025 </t>
  </si>
  <si>
    <t>Evaluate the data model and its design</t>
  </si>
  <si>
    <t>10/06/2025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</si>
</sst>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[$€-2]\ * #,##0.00_-;\-[$€-2]\ * #,##0.00_-;_-[$€-2]\ * &quot;-&quot;??_-;_-@_-"/>
    <numFmt numFmtId="165" formatCode="[$€-2]\ #,##0.00"/>
    <numFmt numFmtId="166" formatCode="&quot;£&quot;#,##0.00"/>
    <numFmt numFmtId="167" formatCode="#,##0.000"/>
    <numFmt numFmtId="168" formatCode="0.0"/>
  </numFmts>
  <fonts count="25" x14ac:knownFonts="1"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72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00"/>
      <color theme="0"/>
      <name val="Aptos Narrow"/>
      <family val="2"/>
      <scheme val="minor"/>
    </font>
    <font>
      <b/>
      <sz val="72"/>
      <color theme="0"/>
      <name val="Aptos Narrow"/>
      <scheme val="minor"/>
    </font>
    <font>
      <b/>
      <sz val="180"/>
      <color theme="1"/>
      <name val="Aptos Narrow"/>
      <scheme val="minor"/>
    </font>
    <font>
      <b/>
      <sz val="120"/>
      <color theme="5"/>
      <name val="Aptos Narrow"/>
      <scheme val="minor"/>
    </font>
    <font>
      <sz val="11"/>
      <color rgb="FF3F3F76"/>
      <name val="Aptos Narrow"/>
      <family val="2"/>
      <scheme val="minor"/>
    </font>
    <font>
      <b/>
      <sz val="100"/>
      <name val="Aptos Narrow"/>
      <scheme val="minor"/>
    </font>
    <font>
      <b/>
      <sz val="100"/>
      <color theme="1"/>
      <name val="Aptos Narrow"/>
      <scheme val="minor"/>
    </font>
    <font>
      <b/>
      <sz val="100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b/>
      <sz val="100"/>
      <color rgb="FFFA7D00"/>
      <name val="Aptos Narrow"/>
      <family val="2"/>
      <scheme val="minor"/>
    </font>
    <font>
      <sz val="100"/>
      <color theme="1"/>
      <name val="Aptos Narrow"/>
      <family val="2"/>
      <scheme val="minor"/>
    </font>
    <font>
      <sz val="180"/>
      <color theme="1"/>
      <name val="Aptos Narrow"/>
      <family val="2"/>
      <scheme val="minor"/>
    </font>
    <font>
      <sz val="26"/>
      <color theme="1"/>
      <name val="Aptos Narrow"/>
      <scheme val="minor"/>
    </font>
    <font>
      <sz val="100"/>
      <color theme="1"/>
      <name val="Aptos Narrow"/>
      <scheme val="minor"/>
    </font>
    <font>
      <b/>
      <sz val="100"/>
      <color theme="0"/>
      <name val="Aptos Narrow"/>
      <scheme val="minor"/>
    </font>
    <font>
      <sz val="180"/>
      <color theme="1"/>
      <name val="Aptos Narrow"/>
      <scheme val="minor"/>
    </font>
    <font>
      <sz val="11"/>
      <color rgb="FF000000"/>
      <name val="Calibri"/>
      <charset val="1"/>
    </font>
    <font>
      <sz val="11"/>
      <color theme="0"/>
      <name val="Aptos Narrow"/>
      <family val="2"/>
      <scheme val="minor"/>
    </font>
    <font>
      <b/>
      <sz val="120"/>
      <color theme="0"/>
      <name val="Aptos Narrow"/>
      <family val="2"/>
      <scheme val="minor"/>
    </font>
    <font>
      <b/>
      <sz val="100"/>
      <color theme="5" tint="-0.249977111117893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  <xf numFmtId="0" fontId="9" fillId="6" borderId="1" applyNumberFormat="0" applyAlignment="0" applyProtection="0"/>
  </cellStyleXfs>
  <cellXfs count="68">
    <xf numFmtId="0" fontId="0" fillId="0" borderId="0" xfId="0"/>
    <xf numFmtId="0" fontId="0" fillId="0" borderId="0" xfId="0" applyAlignment="1">
      <alignment vertical="center"/>
    </xf>
    <xf numFmtId="0" fontId="4" fillId="0" borderId="0" xfId="2"/>
    <xf numFmtId="0" fontId="5" fillId="3" borderId="1" xfId="1" applyFont="1" applyFill="1" applyProtection="1"/>
    <xf numFmtId="0" fontId="3" fillId="5" borderId="0" xfId="0" applyFont="1" applyFill="1"/>
    <xf numFmtId="0" fontId="7" fillId="0" borderId="0" xfId="0" applyFont="1"/>
    <xf numFmtId="4" fontId="8" fillId="5" borderId="0" xfId="0" applyNumberFormat="1" applyFont="1" applyFill="1" applyAlignment="1">
      <alignment vertical="center"/>
    </xf>
    <xf numFmtId="0" fontId="11" fillId="5" borderId="2" xfId="1" applyFont="1" applyFill="1" applyBorder="1" applyAlignment="1" applyProtection="1">
      <alignment horizontal="center" vertical="center"/>
    </xf>
    <xf numFmtId="164" fontId="11" fillId="5" borderId="3" xfId="1" applyNumberFormat="1" applyFont="1" applyFill="1" applyBorder="1" applyAlignment="1" applyProtection="1">
      <alignment horizontal="center" vertical="center"/>
    </xf>
    <xf numFmtId="0" fontId="11" fillId="5" borderId="3" xfId="1" applyFont="1" applyFill="1" applyBorder="1" applyAlignment="1" applyProtection="1">
      <alignment horizontal="center" vertical="center"/>
    </xf>
    <xf numFmtId="164" fontId="12" fillId="5" borderId="3" xfId="1" applyNumberFormat="1" applyFont="1" applyFill="1" applyBorder="1" applyAlignment="1" applyProtection="1">
      <alignment horizontal="center" vertical="center"/>
    </xf>
    <xf numFmtId="0" fontId="13" fillId="0" borderId="0" xfId="0" applyFont="1"/>
    <xf numFmtId="1" fontId="13" fillId="0" borderId="0" xfId="0" applyNumberFormat="1" applyFont="1"/>
    <xf numFmtId="166" fontId="14" fillId="5" borderId="1" xfId="1" applyNumberFormat="1" applyFont="1" applyFill="1" applyAlignment="1" applyProtection="1">
      <alignment horizontal="center"/>
    </xf>
    <xf numFmtId="3" fontId="14" fillId="5" borderId="1" xfId="1" applyNumberFormat="1" applyFont="1" applyFill="1" applyAlignment="1" applyProtection="1">
      <alignment horizontal="center" vertical="center"/>
    </xf>
    <xf numFmtId="4" fontId="14" fillId="5" borderId="1" xfId="1" applyNumberFormat="1" applyFont="1" applyFill="1" applyAlignment="1" applyProtection="1">
      <alignment horizontal="center"/>
    </xf>
    <xf numFmtId="166" fontId="14" fillId="5" borderId="1" xfId="1" applyNumberFormat="1" applyFont="1" applyFill="1" applyAlignment="1" applyProtection="1">
      <alignment horizontal="center" vertical="top"/>
    </xf>
    <xf numFmtId="4" fontId="8" fillId="5" borderId="0" xfId="0" applyNumberFormat="1" applyFont="1" applyFill="1" applyAlignment="1">
      <alignment horizontal="center" vertical="center"/>
    </xf>
    <xf numFmtId="0" fontId="10" fillId="6" borderId="1" xfId="3" applyFont="1" applyAlignment="1" applyProtection="1">
      <alignment horizontal="center"/>
    </xf>
    <xf numFmtId="165" fontId="10" fillId="6" borderId="1" xfId="3" applyNumberFormat="1" applyFont="1" applyAlignment="1" applyProtection="1">
      <alignment horizontal="center"/>
    </xf>
    <xf numFmtId="1" fontId="10" fillId="6" borderId="1" xfId="3" applyNumberFormat="1" applyFont="1" applyAlignment="1" applyProtection="1">
      <alignment horizontal="center"/>
    </xf>
    <xf numFmtId="4" fontId="8" fillId="4" borderId="0" xfId="0" applyNumberFormat="1" applyFont="1" applyFill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68" fontId="15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2" fillId="0" borderId="0" xfId="0" applyFont="1" applyAlignment="1">
      <alignment vertical="center"/>
    </xf>
    <xf numFmtId="0" fontId="18" fillId="0" borderId="0" xfId="0" applyFont="1"/>
    <xf numFmtId="2" fontId="11" fillId="6" borderId="1" xfId="3" applyNumberFormat="1" applyFont="1" applyAlignment="1" applyProtection="1">
      <alignment horizontal="center"/>
    </xf>
    <xf numFmtId="0" fontId="11" fillId="6" borderId="1" xfId="3" applyFont="1" applyAlignment="1">
      <alignment horizontal="center" vertical="center"/>
    </xf>
    <xf numFmtId="0" fontId="15" fillId="5" borderId="0" xfId="0" applyFont="1" applyFill="1" applyAlignment="1">
      <alignment vertical="top"/>
    </xf>
    <xf numFmtId="0" fontId="0" fillId="5" borderId="0" xfId="0" applyFill="1"/>
    <xf numFmtId="0" fontId="15" fillId="5" borderId="0" xfId="0" applyFont="1" applyFill="1"/>
    <xf numFmtId="0" fontId="5" fillId="9" borderId="1" xfId="1" applyFont="1" applyFill="1" applyProtection="1"/>
    <xf numFmtId="0" fontId="19" fillId="9" borderId="0" xfId="0" applyFont="1" applyFill="1"/>
    <xf numFmtId="0" fontId="0" fillId="9" borderId="0" xfId="0" applyFill="1"/>
    <xf numFmtId="0" fontId="15" fillId="10" borderId="0" xfId="0" applyFont="1" applyFill="1" applyAlignment="1">
      <alignment vertical="center"/>
    </xf>
    <xf numFmtId="0" fontId="0" fillId="11" borderId="0" xfId="0" applyFill="1" applyAlignment="1">
      <alignment horizontal="center"/>
    </xf>
    <xf numFmtId="0" fontId="21" fillId="0" borderId="0" xfId="0" applyFont="1"/>
    <xf numFmtId="0" fontId="0" fillId="12" borderId="0" xfId="0" applyFill="1" applyAlignment="1">
      <alignment horizontal="center"/>
    </xf>
    <xf numFmtId="0" fontId="0" fillId="13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9" borderId="0" xfId="0" applyFont="1" applyFill="1"/>
    <xf numFmtId="0" fontId="15" fillId="10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4" fontId="15" fillId="7" borderId="0" xfId="0" applyNumberFormat="1" applyFont="1" applyFill="1" applyAlignment="1">
      <alignment horizontal="center" vertical="center"/>
    </xf>
    <xf numFmtId="0" fontId="5" fillId="5" borderId="5" xfId="0" applyFont="1" applyFill="1" applyBorder="1"/>
    <xf numFmtId="0" fontId="5" fillId="5" borderId="0" xfId="0" applyFont="1" applyFill="1"/>
    <xf numFmtId="0" fontId="22" fillId="5" borderId="0" xfId="0" applyFont="1" applyFill="1"/>
    <xf numFmtId="0" fontId="17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4" fontId="8" fillId="4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16" fillId="0" borderId="0" xfId="0" applyFont="1" applyAlignment="1">
      <alignment horizontal="center" wrapText="1"/>
    </xf>
    <xf numFmtId="0" fontId="20" fillId="0" borderId="0" xfId="0" applyFont="1" applyAlignment="1">
      <alignment horizontal="center"/>
    </xf>
    <xf numFmtId="0" fontId="6" fillId="8" borderId="0" xfId="0" applyFont="1" applyFill="1" applyAlignment="1">
      <alignment horizontal="center" vertical="center" wrapText="1"/>
    </xf>
    <xf numFmtId="4" fontId="23" fillId="4" borderId="0" xfId="0" applyNumberFormat="1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4" fontId="24" fillId="0" borderId="0" xfId="0" applyNumberFormat="1" applyFont="1" applyAlignment="1">
      <alignment horizontal="center" vertical="center"/>
    </xf>
    <xf numFmtId="167" fontId="24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</cellXfs>
  <cellStyles count="4">
    <cellStyle name="Calculation" xfId="1" builtinId="22"/>
    <cellStyle name="Hyperlink" xfId="2" builtinId="8"/>
    <cellStyle name="Input" xfId="3" builtinId="20"/>
    <cellStyle name="Normal" xfId="0" builtinId="0"/>
  </cellStyles>
  <dxfs count="25"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68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0"/>
        <color theme="5" tint="-0.249977111117893"/>
        <name val="Aptos Narrow"/>
        <family val="2"/>
        <scheme val="minor"/>
      </font>
      <numFmt numFmtId="167" formatCode="#,##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166" formatCode="&quot;£&quot;#,##0.0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  <protection locked="1" hidden="0"/>
    </dxf>
    <dxf>
      <font>
        <strike val="0"/>
        <outline val="0"/>
        <shadow val="0"/>
        <u val="none"/>
        <vertAlign val="baseline"/>
        <sz val="100"/>
        <color rgb="FFFA7D00"/>
        <name val="Aptos Narrow"/>
        <family val="2"/>
        <scheme val="minor"/>
      </font>
      <numFmt numFmtId="166" formatCode="&quot;£&quot;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left style="thin">
          <color rgb="FF7F7F7F"/>
        </left>
        <right style="thin">
          <color rgb="FF7F7F7F"/>
        </righ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numFmt numFmtId="1" formatCode="0"/>
      <alignment horizontal="center" vertical="bottom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numFmt numFmtId="165" formatCode="[$€-2]\ #,##0.00"/>
      <alignment horizontal="center" vertical="bottom" textRotation="0" wrapText="0" indent="0" justifyLastLine="0" shrinkToFit="0" readingOrder="0"/>
      <border outline="0">
        <left style="thin">
          <color rgb="FF7F7F7F"/>
        </left>
        <right style="thin">
          <color rgb="FF7F7F7F"/>
        </right>
      </border>
      <protection locked="1" hidden="0"/>
    </dxf>
    <dxf>
      <font>
        <b/>
        <strike val="0"/>
        <outline val="0"/>
        <shadow val="0"/>
        <u val="none"/>
        <vertAlign val="baseline"/>
        <sz val="100"/>
        <color auto="1"/>
        <name val="Aptos Narrow"/>
        <scheme val="minor"/>
      </font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  <protection locked="1" hidden="0"/>
    </dxf>
    <dxf>
      <border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strike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protection locked="1" hidden="0"/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[1]Sheet1!$C$34</c:f>
              <c:strCache>
                <c:ptCount val="1"/>
                <c:pt idx="0">
                  <c:v>Average Montly Sales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[1]Sheet1!$C$35:$C$39</c:f>
              <c:numCache>
                <c:formatCode>General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9-4A4F-B3F0-6FC4ED2E89E5}"/>
            </c:ext>
          </c:extLst>
        </c:ser>
        <c:ser>
          <c:idx val="1"/>
          <c:order val="1"/>
          <c:tx>
            <c:strRef>
              <c:f>[1]Sheet1!$G$34</c:f>
              <c:strCache>
                <c:ptCount val="1"/>
                <c:pt idx="0">
                  <c:v>Total Profit per cheese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[1]Sheet1!$G$35:$G$39</c:f>
              <c:numCache>
                <c:formatCode>General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9-4A4F-B3F0-6FC4ED2E8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871496"/>
        <c:axId val="1916862471"/>
      </c:barChart>
      <c:catAx>
        <c:axId val="439871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862471"/>
        <c:crosses val="autoZero"/>
        <c:auto val="1"/>
        <c:lblAlgn val="ctr"/>
        <c:lblOffset val="100"/>
        <c:noMultiLvlLbl val="0"/>
      </c:catAx>
      <c:valAx>
        <c:axId val="1916862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7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profit cheese</c:v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FIXED!$E$47:$E$51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FIXED!$K$47:$K$51</c:f>
              <c:numCache>
                <c:formatCode>#,##0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9-46FB-B191-AB400149C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0001640"/>
        <c:axId val="880003440"/>
      </c:barChart>
      <c:catAx>
        <c:axId val="880001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003440"/>
        <c:crosses val="autoZero"/>
        <c:auto val="1"/>
        <c:lblAlgn val="ctr"/>
        <c:lblOffset val="100"/>
        <c:noMultiLvlLbl val="0"/>
      </c:catAx>
      <c:valAx>
        <c:axId val="88000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00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0">
                <a:solidFill>
                  <a:schemeClr val="bg1"/>
                </a:solidFill>
              </a:rPr>
              <a:t>Comparing Average Montly Sales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926212820985949E-2"/>
          <c:y val="9.8420754746847056E-2"/>
          <c:w val="0.70394528478040752"/>
          <c:h val="0.88813854797692682"/>
        </c:manualLayout>
      </c:layout>
      <c:pieChart>
        <c:varyColors val="1"/>
        <c:ser>
          <c:idx val="0"/>
          <c:order val="0"/>
          <c:tx>
            <c:strRef>
              <c:f>[1]Sheet1!$C$34</c:f>
              <c:strCache>
                <c:ptCount val="1"/>
                <c:pt idx="0">
                  <c:v>Average Montly Sales 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4D-43CF-BC79-9E644C80B9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4D-43CF-BC79-9E644C80B9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4D-43CF-BC79-9E644C80B9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64D-43CF-BC79-9E644C80B9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64D-43CF-BC79-9E644C80B9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[1]Sheet1!$A$35:$A$39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[1]Sheet1!$C$35:$C$39</c:f>
              <c:numCache>
                <c:formatCode>General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4D-43CF-BC79-9E644C80B9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345713660871414E-2"/>
          <c:y val="2.841157739441456E-2"/>
          <c:w val="0.92683037265429691"/>
          <c:h val="0.81506158314948074"/>
        </c:manualLayout>
      </c:layout>
      <c:barChart>
        <c:barDir val="col"/>
        <c:grouping val="clustered"/>
        <c:varyColors val="0"/>
        <c:ser>
          <c:idx val="0"/>
          <c:order val="0"/>
          <c:tx>
            <c:v>Fixed Average Monthly Sales 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MODEL!$M$32:$M$36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FIXED!$G$47:$G$51</c:f>
              <c:numCache>
                <c:formatCode>0</c:formatCode>
                <c:ptCount val="5"/>
                <c:pt idx="0">
                  <c:v>900</c:v>
                </c:pt>
                <c:pt idx="1">
                  <c:v>850</c:v>
                </c:pt>
                <c:pt idx="2">
                  <c:v>875</c:v>
                </c:pt>
                <c:pt idx="3">
                  <c:v>825</c:v>
                </c:pt>
                <c:pt idx="4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7-423B-A602-7FEA8CE56197}"/>
            </c:ext>
          </c:extLst>
        </c:ser>
        <c:ser>
          <c:idx val="1"/>
          <c:order val="1"/>
          <c:tx>
            <c:v>Model Average Monthly Sales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MODEL!$M$32:$M$36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MODEL!$T$32:$T$36</c:f>
              <c:numCache>
                <c:formatCode>0</c:formatCode>
                <c:ptCount val="5"/>
                <c:pt idx="0">
                  <c:v>821.59999999999945</c:v>
                </c:pt>
                <c:pt idx="1">
                  <c:v>760.39999999999986</c:v>
                </c:pt>
                <c:pt idx="2">
                  <c:v>777.00000000000102</c:v>
                </c:pt>
                <c:pt idx="3">
                  <c:v>743.7999999999995</c:v>
                </c:pt>
                <c:pt idx="4">
                  <c:v>613.19999999999982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27-423B-A602-7FEA8CE56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673256"/>
        <c:axId val="6636735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Cheeses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MODEL!$M$32:$M$36</c15:sqref>
                        </c15:formulaRef>
                      </c:ext>
                    </c:extLst>
                    <c:strCache>
                      <c:ptCount val="5"/>
                      <c:pt idx="0">
                        <c:v>Camembert</c:v>
                      </c:pt>
                      <c:pt idx="1">
                        <c:v>Emmental </c:v>
                      </c:pt>
                      <c:pt idx="2">
                        <c:v>Gruyere</c:v>
                      </c:pt>
                      <c:pt idx="3">
                        <c:v>Edam</c:v>
                      </c:pt>
                      <c:pt idx="4">
                        <c:v>Gouda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MODEL!$M$32:$M$36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727-423B-A602-7FEA8CE56197}"/>
                  </c:ext>
                </c:extLst>
              </c15:ser>
            </c15:filteredBarSeries>
          </c:ext>
        </c:extLst>
      </c:barChart>
      <c:catAx>
        <c:axId val="663673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584"/>
        <c:crosses val="autoZero"/>
        <c:auto val="1"/>
        <c:lblAlgn val="ctr"/>
        <c:lblOffset val="100"/>
        <c:noMultiLvlLbl val="0"/>
      </c:catAx>
      <c:valAx>
        <c:axId val="6636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Model total profit </c:v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MODEL!$M$32:$M$36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MODEL!$U$32:$U$36</c:f>
              <c:numCache>
                <c:formatCode>0.0</c:formatCode>
                <c:ptCount val="5"/>
                <c:pt idx="0">
                  <c:v>6533.3631999999943</c:v>
                </c:pt>
                <c:pt idx="1">
                  <c:v>6910.5151999999971</c:v>
                </c:pt>
                <c:pt idx="2">
                  <c:v>7723.3800000000056</c:v>
                </c:pt>
                <c:pt idx="3">
                  <c:v>6125.936799999994</c:v>
                </c:pt>
                <c:pt idx="4">
                  <c:v>5398.6127999999972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4E-4137-B846-CBE7C5DC763F}"/>
            </c:ext>
          </c:extLst>
        </c:ser>
        <c:ser>
          <c:idx val="4"/>
          <c:order val="1"/>
          <c:tx>
            <c:v>Fixed total profit </c:v>
          </c:tx>
          <c:spPr>
            <a:solidFill>
              <a:schemeClr val="accent2"/>
            </a:solidFill>
          </c:spPr>
          <c:invertIfNegative val="0"/>
          <c:cat>
            <c:strRef>
              <c:f>MODEL!$M$32:$M$36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FIXED!$K$47:$K$51</c:f>
              <c:numCache>
                <c:formatCode>#,##0</c:formatCode>
                <c:ptCount val="5"/>
                <c:pt idx="0">
                  <c:v>7055.9999999999964</c:v>
                </c:pt>
                <c:pt idx="1">
                  <c:v>7615.9999999999973</c:v>
                </c:pt>
                <c:pt idx="2">
                  <c:v>8574.9999999999982</c:v>
                </c:pt>
                <c:pt idx="3">
                  <c:v>6698.9999999999982</c:v>
                </c:pt>
                <c:pt idx="4">
                  <c:v>6075.9999999999973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4E-4137-B846-CBE7C5DC7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673256"/>
        <c:axId val="6636735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Cheeses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MODEL!$M$32:$M$36</c15:sqref>
                        </c15:formulaRef>
                      </c:ext>
                    </c:extLst>
                    <c:strCache>
                      <c:ptCount val="5"/>
                      <c:pt idx="0">
                        <c:v>Camembert</c:v>
                      </c:pt>
                      <c:pt idx="1">
                        <c:v>Emmental </c:v>
                      </c:pt>
                      <c:pt idx="2">
                        <c:v>Gruyere</c:v>
                      </c:pt>
                      <c:pt idx="3">
                        <c:v>Edam</c:v>
                      </c:pt>
                      <c:pt idx="4">
                        <c:v>Gouda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MODEL!$M$32:$M$36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44E-4137-B846-CBE7C5DC763F}"/>
                  </c:ext>
                </c:extLst>
              </c15:ser>
            </c15:filteredBarSeries>
          </c:ext>
        </c:extLst>
      </c:barChart>
      <c:catAx>
        <c:axId val="663673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584"/>
        <c:crosses val="autoZero"/>
        <c:auto val="1"/>
        <c:lblAlgn val="ctr"/>
        <c:lblOffset val="100"/>
        <c:noMultiLvlLbl val="0"/>
      </c:catAx>
      <c:valAx>
        <c:axId val="6636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73256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0" b="1" i="0" u="none" strike="noStrike" kern="1200" spc="0" normalizeH="0" baseline="0">
                <a:solidFill>
                  <a:sysClr val="windowText" lastClr="000000"/>
                </a:solidFill>
                <a:latin typeface="+mj-lt"/>
                <a:ea typeface="+mj-ea"/>
                <a:cs typeface="+mj-cs"/>
              </a:defRPr>
            </a:pPr>
            <a:r>
              <a:rPr lang="en-GB" sz="15000">
                <a:solidFill>
                  <a:sysClr val="windowText" lastClr="000000"/>
                </a:solidFill>
              </a:rPr>
              <a:t>The Most Profitable cheese</a:t>
            </a:r>
          </a:p>
        </c:rich>
      </c:tx>
      <c:layout>
        <c:manualLayout>
          <c:xMode val="edge"/>
          <c:yMode val="edge"/>
          <c:x val="0.25516658947043386"/>
          <c:y val="5.1417931489780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0" b="1" i="0" u="none" strike="noStrike" kern="1200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77481170007978"/>
          <c:y val="0.15608875051480725"/>
          <c:w val="0.51200023202818346"/>
          <c:h val="0.84391124948519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7F-4B33-B0AB-E5DB5F635B33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7F-4B33-B0AB-E5DB5F635B33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F-4B33-B0AB-E5DB5F635B33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F-4B33-B0AB-E5DB5F635B33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7F-4B33-B0AB-E5DB5F635B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MODEL!$M$32:$M$36</c:f>
              <c:strCache>
                <c:ptCount val="5"/>
                <c:pt idx="0">
                  <c:v>Camembert</c:v>
                </c:pt>
                <c:pt idx="1">
                  <c:v>Emmental </c:v>
                </c:pt>
                <c:pt idx="2">
                  <c:v>Gruyere</c:v>
                </c:pt>
                <c:pt idx="3">
                  <c:v>Edam</c:v>
                </c:pt>
                <c:pt idx="4">
                  <c:v>Gouda </c:v>
                </c:pt>
              </c:strCache>
            </c:strRef>
          </c:cat>
          <c:val>
            <c:numRef>
              <c:f>MODEL!$U$32:$U$36</c:f>
              <c:numCache>
                <c:formatCode>0.0</c:formatCode>
                <c:ptCount val="5"/>
                <c:pt idx="0">
                  <c:v>6533.3631999999943</c:v>
                </c:pt>
                <c:pt idx="1">
                  <c:v>6910.5151999999971</c:v>
                </c:pt>
                <c:pt idx="2">
                  <c:v>7723.3800000000056</c:v>
                </c:pt>
                <c:pt idx="3">
                  <c:v>6125.936799999994</c:v>
                </c:pt>
                <c:pt idx="4">
                  <c:v>5398.6127999999972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9-4316-8BF4-4236666724E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312177059118"/>
          <c:y val="0.32856715007218568"/>
          <c:w val="0.28004665693545849"/>
          <c:h val="0.43217705677698798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IXED!F24"/><Relationship Id="rId1" Type="http://schemas.openxmlformats.org/officeDocument/2006/relationships/hyperlink" Target="#MODEL!P29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ODEL!A1"/><Relationship Id="rId2" Type="http://schemas.openxmlformats.org/officeDocument/2006/relationships/hyperlink" Target="#HOME!I5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hyperlink" Target="#FIXED!F24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0</xdr:rowOff>
    </xdr:from>
    <xdr:to>
      <xdr:col>13</xdr:col>
      <xdr:colOff>47625</xdr:colOff>
      <xdr:row>15</xdr:row>
      <xdr:rowOff>114300</xdr:rowOff>
    </xdr:to>
    <xdr:sp macro="[0]!RectangleRoundedCorners1_Click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D4202C-2F48-C908-A053-BBF457B1B980}"/>
            </a:ext>
          </a:extLst>
        </xdr:cNvPr>
        <xdr:cNvSpPr/>
      </xdr:nvSpPr>
      <xdr:spPr>
        <a:xfrm>
          <a:off x="7019925" y="2438400"/>
          <a:ext cx="2105025" cy="657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Input</a:t>
          </a:r>
          <a:r>
            <a:rPr lang="en-GB" sz="1800" baseline="0"/>
            <a:t> </a:t>
          </a:r>
          <a:r>
            <a:rPr lang="en-GB" sz="1800"/>
            <a:t> </a:t>
          </a:r>
          <a:r>
            <a:rPr lang="en-GB" sz="1800" baseline="0"/>
            <a:t> </a:t>
          </a:r>
          <a:endParaRPr lang="en-GB" sz="1800"/>
        </a:p>
      </xdr:txBody>
    </xdr:sp>
    <xdr:clientData/>
  </xdr:twoCellAnchor>
  <xdr:twoCellAnchor>
    <xdr:from>
      <xdr:col>10</xdr:col>
      <xdr:colOff>9525</xdr:colOff>
      <xdr:row>16</xdr:row>
      <xdr:rowOff>133350</xdr:rowOff>
    </xdr:from>
    <xdr:to>
      <xdr:col>13</xdr:col>
      <xdr:colOff>57150</xdr:colOff>
      <xdr:row>20</xdr:row>
      <xdr:rowOff>95250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8E86F3-1FAE-4FF4-A922-611B809095D6}"/>
            </a:ext>
          </a:extLst>
        </xdr:cNvPr>
        <xdr:cNvSpPr/>
      </xdr:nvSpPr>
      <xdr:spPr>
        <a:xfrm>
          <a:off x="7029450" y="3295650"/>
          <a:ext cx="2105025" cy="685800"/>
        </a:xfrm>
        <a:prstGeom prst="round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aseline="0"/>
            <a:t>Scenario   </a:t>
          </a:r>
          <a:endParaRPr lang="en-GB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8</xdr:col>
      <xdr:colOff>15144749</xdr:colOff>
      <xdr:row>42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5F46-1BAF-40A4-9A21-79E0CB5C8403}"/>
            </a:ext>
            <a:ext uri="{147F2762-F138-4A5C-976F-8EAC2B608ADB}">
              <a16:predDERef xmlns:a16="http://schemas.microsoft.com/office/drawing/2014/main" pred="{CB11CB27-A6ED-DC12-D018-5AE9A19BD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11303000</xdr:colOff>
      <xdr:row>61</xdr:row>
      <xdr:rowOff>952500</xdr:rowOff>
    </xdr:from>
    <xdr:to>
      <xdr:col>6</xdr:col>
      <xdr:colOff>0</xdr:colOff>
      <xdr:row>63</xdr:row>
      <xdr:rowOff>790015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28CD8F-226F-E1B2-98F9-30D5A3F15082}"/>
            </a:ext>
          </a:extLst>
        </xdr:cNvPr>
        <xdr:cNvSpPr/>
      </xdr:nvSpPr>
      <xdr:spPr>
        <a:xfrm>
          <a:off x="50355500" y="66294000"/>
          <a:ext cx="19843750" cy="307601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0" b="1">
              <a:solidFill>
                <a:schemeClr val="accent2"/>
              </a:solidFill>
            </a:rPr>
            <a:t>&lt; back to home</a:t>
          </a:r>
        </a:p>
      </xdr:txBody>
    </xdr:sp>
    <xdr:clientData/>
  </xdr:twoCellAnchor>
  <xdr:twoCellAnchor>
    <xdr:from>
      <xdr:col>13</xdr:col>
      <xdr:colOff>4667250</xdr:colOff>
      <xdr:row>61</xdr:row>
      <xdr:rowOff>659279</xdr:rowOff>
    </xdr:from>
    <xdr:to>
      <xdr:col>16</xdr:col>
      <xdr:colOff>0</xdr:colOff>
      <xdr:row>63</xdr:row>
      <xdr:rowOff>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249BC66-74D1-45F6-AA3F-A4199802EFCC}"/>
            </a:ext>
          </a:extLst>
        </xdr:cNvPr>
        <xdr:cNvSpPr/>
      </xdr:nvSpPr>
      <xdr:spPr>
        <a:xfrm>
          <a:off x="162401250" y="66000779"/>
          <a:ext cx="19335750" cy="257922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0" b="1" baseline="0">
              <a:solidFill>
                <a:schemeClr val="accent2"/>
              </a:solidFill>
            </a:rPr>
            <a:t> Go to model </a:t>
          </a:r>
          <a:r>
            <a:rPr lang="en-GB" sz="20000" b="1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en-GB" sz="20000" b="1" baseline="0">
              <a:solidFill>
                <a:schemeClr val="accent2"/>
              </a:solidFill>
            </a:rPr>
            <a:t>  </a:t>
          </a:r>
          <a:endParaRPr lang="en-GB" sz="20000" b="1">
            <a:solidFill>
              <a:schemeClr val="accent2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4476750</xdr:colOff>
      <xdr:row>42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7B8814-3C23-4626-BBFB-DCD7323911F5}"/>
            </a:ext>
            <a:ext uri="{147F2762-F138-4A5C-976F-8EAC2B608ADB}">
              <a16:predDERef xmlns:a16="http://schemas.microsoft.com/office/drawing/2014/main" pred="{9249BC66-74D1-45F6-AA3F-A4199802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17</xdr:row>
      <xdr:rowOff>138206</xdr:rowOff>
    </xdr:from>
    <xdr:to>
      <xdr:col>17</xdr:col>
      <xdr:colOff>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B8EF8CC-D555-49FD-A2AD-6612861DFFF7}"/>
            </a:ext>
            <a:ext uri="{147F2762-F138-4A5C-976F-8EAC2B608ADB}">
              <a16:predDERef xmlns:a16="http://schemas.microsoft.com/office/drawing/2014/main" pred="{A07B8814-3C23-4626-BBFB-DCD732391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2476500</xdr:colOff>
      <xdr:row>45</xdr:row>
      <xdr:rowOff>666750</xdr:rowOff>
    </xdr:from>
    <xdr:to>
      <xdr:col>14</xdr:col>
      <xdr:colOff>2476500</xdr:colOff>
      <xdr:row>60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BA50CB5-0C23-4684-B3EA-37B2D00E7EFC}"/>
            </a:ext>
          </a:extLst>
        </xdr:cNvPr>
        <xdr:cNvSpPr txBox="1"/>
      </xdr:nvSpPr>
      <xdr:spPr>
        <a:xfrm>
          <a:off x="152495250" y="38957250"/>
          <a:ext cx="23717250" cy="2495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0">
              <a:solidFill>
                <a:sysClr val="windowText" lastClr="000000"/>
              </a:solidFill>
            </a:rPr>
            <a:t>You cannot make changes to this sheet,</a:t>
          </a:r>
          <a:r>
            <a:rPr lang="en-GB" sz="20000" baseline="0">
              <a:solidFill>
                <a:sysClr val="windowText" lastClr="000000"/>
              </a:solidFill>
            </a:rPr>
            <a:t> to input data click on the "Go to Model" button to go to the next sheet.</a:t>
          </a:r>
        </a:p>
        <a:p>
          <a:endParaRPr lang="en-GB" sz="20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10681989</xdr:colOff>
      <xdr:row>61</xdr:row>
      <xdr:rowOff>311848</xdr:rowOff>
    </xdr:from>
    <xdr:to>
      <xdr:col>11</xdr:col>
      <xdr:colOff>7905750</xdr:colOff>
      <xdr:row>64</xdr:row>
      <xdr:rowOff>666749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CD6D4-2B55-41E7-8E9F-035DD847E187}"/>
            </a:ext>
          </a:extLst>
        </xdr:cNvPr>
        <xdr:cNvSpPr/>
      </xdr:nvSpPr>
      <xdr:spPr>
        <a:xfrm>
          <a:off x="100788489" y="64796098"/>
          <a:ext cx="11987511" cy="406965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0" b="1" baseline="0">
              <a:solidFill>
                <a:schemeClr val="accent2"/>
              </a:solidFill>
            </a:rPr>
            <a:t>&lt;back to fixed</a:t>
          </a:r>
          <a:r>
            <a:rPr lang="en-GB" sz="10000" baseline="0">
              <a:solidFill>
                <a:schemeClr val="accent2"/>
              </a:solidFill>
            </a:rPr>
            <a:t>  </a:t>
          </a:r>
          <a:endParaRPr lang="en-GB" sz="10000">
            <a:solidFill>
              <a:schemeClr val="accent2"/>
            </a:solidFill>
          </a:endParaRPr>
        </a:p>
      </xdr:txBody>
    </xdr:sp>
    <xdr:clientData/>
  </xdr:twoCellAnchor>
  <xdr:twoCellAnchor>
    <xdr:from>
      <xdr:col>18</xdr:col>
      <xdr:colOff>5619750</xdr:colOff>
      <xdr:row>3</xdr:row>
      <xdr:rowOff>285750</xdr:rowOff>
    </xdr:from>
    <xdr:to>
      <xdr:col>24</xdr:col>
      <xdr:colOff>190500</xdr:colOff>
      <xdr:row>28</xdr:row>
      <xdr:rowOff>571500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99B4A3-56B5-4A9C-89EC-06922171DB21}"/>
            </a:ext>
            <a:ext uri="{147F2762-F138-4A5C-976F-8EAC2B608ADB}">
              <a16:predDERef xmlns:a16="http://schemas.microsoft.com/office/drawing/2014/main" pred="{766CD6D4-2B55-41E7-8E9F-035DD847E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17049750</xdr:colOff>
      <xdr:row>41</xdr:row>
      <xdr:rowOff>0</xdr:rowOff>
    </xdr:from>
    <xdr:to>
      <xdr:col>22</xdr:col>
      <xdr:colOff>14382750</xdr:colOff>
      <xdr:row>56</xdr:row>
      <xdr:rowOff>952500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2103DEC-A14E-453D-8E9D-89180B67B2F2}"/>
            </a:ext>
            <a:ext uri="{147F2762-F138-4A5C-976F-8EAC2B608ADB}">
              <a16:predDERef xmlns:a16="http://schemas.microsoft.com/office/drawing/2014/main" pred="{E199B4A3-56B5-4A9C-89EC-06922171D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17145000</xdr:colOff>
      <xdr:row>3</xdr:row>
      <xdr:rowOff>970061</xdr:rowOff>
    </xdr:from>
    <xdr:to>
      <xdr:col>15</xdr:col>
      <xdr:colOff>6096000</xdr:colOff>
      <xdr:row>26</xdr:row>
      <xdr:rowOff>666750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802EEF4-88D2-4975-B63D-F574249FC6C1}"/>
            </a:ext>
            <a:ext uri="{147F2762-F138-4A5C-976F-8EAC2B608ADB}">
              <a16:predDERef xmlns:a16="http://schemas.microsoft.com/office/drawing/2014/main" pred="{12103DEC-A14E-453D-8E9D-89180B67B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16192500</xdr:colOff>
      <xdr:row>41</xdr:row>
      <xdr:rowOff>0</xdr:rowOff>
    </xdr:from>
    <xdr:to>
      <xdr:col>23</xdr:col>
      <xdr:colOff>16002000</xdr:colOff>
      <xdr:row>56</xdr:row>
      <xdr:rowOff>857250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D5FF1BF-AF17-4BDE-A5AE-92B81CF9C581}"/>
            </a:ext>
          </a:extLst>
        </xdr:cNvPr>
        <xdr:cNvSpPr txBox="1"/>
      </xdr:nvSpPr>
      <xdr:spPr>
        <a:xfrm>
          <a:off x="258222750" y="51244500"/>
          <a:ext cx="16192500" cy="2009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0"/>
            <a:t>Do not change the values for the sales change and price change ratio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597647</xdr:colOff>
      <xdr:row>16</xdr:row>
      <xdr:rowOff>47540</xdr:rowOff>
    </xdr:from>
    <xdr:to>
      <xdr:col>31</xdr:col>
      <xdr:colOff>168089</xdr:colOff>
      <xdr:row>54</xdr:row>
      <xdr:rowOff>112058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D080AB84-7118-BF36-64BA-E627AA0D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44559" y="3035775"/>
          <a:ext cx="13129559" cy="71615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arlowcollege-my.sharepoint.com/personal/11248514_student_harlow-college_ac_uk/Documents/Unit%205/Unit%205BC/speciality%20cheeses%20data%20model%20.xlsx" TargetMode="External"/><Relationship Id="rId1" Type="http://schemas.openxmlformats.org/officeDocument/2006/relationships/externalLinkPath" Target="Unit%205BC/speciality%20cheeses%20data%20model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y1jolOVw7kyfvFqOiRuGc6b3MDKnGpRMtcO_SdlzFSSA9Iuax0U8TqJujkKwzMsA" itemId="01JG6HMVVV2GSMHY64XZCYAFTSVOCD5JTO">
      <xxl21:absoluteUrl r:id="rId2"/>
    </xxl21:alternateUrls>
    <sheetNames>
      <sheetName val="Sheet1"/>
      <sheetName val="Sheet2"/>
    </sheetNames>
    <sheetDataSet>
      <sheetData sheetId="0">
        <row r="34">
          <cell r="C34" t="str">
            <v xml:space="preserve">Average Montly Sales </v>
          </cell>
          <cell r="G34" t="str">
            <v>Total Profit per cheese</v>
          </cell>
        </row>
        <row r="35">
          <cell r="A35" t="str">
            <v>Camembert</v>
          </cell>
          <cell r="C35">
            <v>900</v>
          </cell>
          <cell r="G35">
            <v>7055.9999999999964</v>
          </cell>
        </row>
        <row r="36">
          <cell r="A36" t="str">
            <v xml:space="preserve">Emmental </v>
          </cell>
          <cell r="C36">
            <v>850</v>
          </cell>
          <cell r="G36">
            <v>7615.9999999999973</v>
          </cell>
        </row>
        <row r="37">
          <cell r="A37" t="str">
            <v>Gruyere</v>
          </cell>
          <cell r="C37">
            <v>875</v>
          </cell>
          <cell r="G37">
            <v>8574.9999999999982</v>
          </cell>
        </row>
        <row r="38">
          <cell r="A38" t="str">
            <v>Edam</v>
          </cell>
          <cell r="C38">
            <v>825</v>
          </cell>
          <cell r="G38">
            <v>6698.9999999999982</v>
          </cell>
        </row>
        <row r="39">
          <cell r="A39" t="str">
            <v xml:space="preserve">Gouda </v>
          </cell>
          <cell r="C39">
            <v>700</v>
          </cell>
          <cell r="G39">
            <v>6075.9999999999973</v>
          </cell>
        </row>
      </sheetData>
      <sheetData sheetId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2038D7-3911-4EBD-BE2D-12B244535F07}" name="Table1" displayName="Table1" ref="E46:K51" totalsRowShown="0" headerRowDxfId="24" dataDxfId="22" headerRowBorderDxfId="23" tableBorderDxfId="21" headerRowCellStyle="Calculation">
  <autoFilter ref="E46:K51" xr:uid="{2C2038D7-3911-4EBD-BE2D-12B244535F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C7FF85B-6A6E-4F8C-A31E-ADFB0CF90353}" name="Cheese " dataDxfId="20" dataCellStyle="Input"/>
    <tableColumn id="2" xr3:uid="{67DDC9C5-2C39-40F7-8519-37368EC6F331}" name="Cost per Kilo in Euro" dataDxfId="19" dataCellStyle="Input"/>
    <tableColumn id="3" xr3:uid="{0BF6BC38-8C43-45B7-9EC9-D797D60752FF}" name="Average Montly Sales " dataDxfId="18" dataCellStyle="Input"/>
    <tableColumn id="4" xr3:uid="{9E680244-B3FA-4819-834D-B99FAE3031D3}" name="Cost per Kilo in Pounds " dataDxfId="17" dataCellStyle="Calculation">
      <calculatedColumnFormula xml:space="preserve"> F47*$Q$14</calculatedColumnFormula>
    </tableColumn>
    <tableColumn id="5" xr3:uid="{5C256C8D-1594-403A-AF56-A55C0A33F9D8}" name="Sales Price " dataDxfId="16" dataCellStyle="Calculation">
      <calculatedColumnFormula>H47*( 1+$Q$15)</calculatedColumnFormula>
    </tableColumn>
    <tableColumn id="6" xr3:uid="{5835AF9F-6245-47E5-AC26-5D0AD596BD12}" name="Profit Per Kg" dataDxfId="15" dataCellStyle="Calculation">
      <calculatedColumnFormula>I47-H47</calculatedColumnFormula>
    </tableColumn>
    <tableColumn id="7" xr3:uid="{787255D7-C83F-4211-A703-D8EFED269064}" name="Total Profit per cheese" dataDxfId="14" dataCellStyle="Calculation">
      <calculatedColumnFormula xml:space="preserve"> G47*J47</calculatedColumnFormula>
    </tableColumn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D4BB53-14F6-4B77-AF0E-2DFFC987B238}" name="Table2" displayName="Table2" ref="M31:U36" totalsRowShown="0" headerRowDxfId="10" dataDxfId="9">
  <autoFilter ref="M31:U36" xr:uid="{BAD3742D-16D8-4C0B-B8C2-B0E5EEDC3D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266E572-16A6-4E9F-8B62-0BAF2DF512F9}" name="Cheeses" dataDxfId="8"/>
    <tableColumn id="2" xr3:uid="{F082BBBC-A980-46B4-865C-7BA70870777E}" name="Price Difference " dataDxfId="6">
      <calculatedColumnFormula>FIXED!I47-Table2[[#This Row],[Sales Price]]</calculatedColumnFormula>
    </tableColumn>
    <tableColumn id="4" xr3:uid="{F2973C17-362E-44B5-A5B0-D48AA814B43D}" name="Cost per Kilo in Pounds " dataDxfId="7">
      <calculatedColumnFormula>FIXED!F47* $R$23</calculatedColumnFormula>
    </tableColumn>
    <tableColumn id="5" xr3:uid="{453E5DD5-0104-47FC-AC0A-1683392F2E4A}" name="Sales Price" dataDxfId="4">
      <calculatedColumnFormula>Table2[[#This Row],[Cost per Kilo in Pounds ]]*(1+$R$24)</calculatedColumnFormula>
    </tableColumn>
    <tableColumn id="6" xr3:uid="{9F3F65B5-7896-48E3-A249-2F58352E6ED9}" name="Profit Per Kg" dataDxfId="2">
      <calculatedColumnFormula>Table2[[#This Row],[Sales Price]] - Table2[[#This Row],[Cost per Kilo in Pounds ]]</calculatedColumnFormula>
    </tableColumn>
    <tableColumn id="7" xr3:uid="{7A7137C1-B6EC-4200-AEF8-69C65C9E46B4}" name="Total Profit per cheese" dataDxfId="3">
      <calculatedColumnFormula xml:space="preserve"> FIXED!G47*Table2[[#This Row],[Profit Per Kg]]</calculatedColumnFormula>
    </tableColumn>
    <tableColumn id="9" xr3:uid="{4169E47C-E653-496C-90E5-79996C178541}" name="Column1" dataDxfId="5">
      <calculatedColumnFormula>$R$26*N32*$R$25</calculatedColumnFormula>
    </tableColumn>
    <tableColumn id="10" xr3:uid="{6E672C0A-CBD7-4A21-AC17-605B35DCEA30}" name="Average Monthly Sales " dataDxfId="1">
      <calculatedColumnFormula>FIXED!G47+Table2[[#This Row],[Column1]]</calculatedColumnFormula>
    </tableColumn>
    <tableColumn id="11" xr3:uid="{EA0277D6-89AE-489A-A30C-6D8F9A2714DE}" name="Total Profit per cheese " dataDxfId="0">
      <calculatedColumnFormula>T32 * Q32</calculatedColumnFormula>
    </tableColumn>
  </tableColumns>
  <tableStyleInfo name="TableStyleMedium16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20E66-4580-45B4-89B2-48D2B5298584}">
  <sheetPr>
    <tabColor theme="9" tint="0.39997558519241921"/>
  </sheetPr>
  <dimension ref="G10:Q19"/>
  <sheetViews>
    <sheetView showGridLines="0" topLeftCell="A7" workbookViewId="0">
      <selection activeCell="P15" sqref="P15"/>
    </sheetView>
  </sheetViews>
  <sheetFormatPr defaultRowHeight="15" x14ac:dyDescent="0.25"/>
  <cols>
    <col min="7" max="7" width="11.140625" customWidth="1"/>
    <col min="15" max="15" width="10.5703125" customWidth="1"/>
  </cols>
  <sheetData>
    <row r="10" spans="7:17" ht="34.5" customHeight="1" x14ac:dyDescent="0.25">
      <c r="H10" s="28"/>
      <c r="I10" s="28"/>
      <c r="J10" s="28"/>
      <c r="K10" s="50" t="s">
        <v>0</v>
      </c>
      <c r="L10" s="50"/>
      <c r="M10" s="50"/>
      <c r="N10" s="28"/>
      <c r="O10" s="28"/>
      <c r="P10" s="28"/>
      <c r="Q10" s="28"/>
    </row>
    <row r="11" spans="7:17" ht="15" customHeight="1" x14ac:dyDescent="0.25"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</row>
    <row r="19" spans="10:10" x14ac:dyDescent="0.25">
      <c r="J19" s="2"/>
    </row>
  </sheetData>
  <mergeCells count="1">
    <mergeCell ref="K10:M1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E4BD9-BF74-4CFF-9566-8D0AE748DCCC}">
  <sheetPr>
    <tabColor rgb="FFFFC000"/>
  </sheetPr>
  <dimension ref="C1:Q137"/>
  <sheetViews>
    <sheetView showGridLines="0" topLeftCell="E14" zoomScale="10" zoomScaleNormal="10" workbookViewId="0">
      <selection activeCell="M67" sqref="M67"/>
    </sheetView>
  </sheetViews>
  <sheetFormatPr defaultRowHeight="15" x14ac:dyDescent="0.25"/>
  <cols>
    <col min="1" max="2" width="80.7109375" customWidth="1"/>
    <col min="3" max="3" width="150.5703125" customWidth="1"/>
    <col min="4" max="4" width="198.85546875" bestFit="1" customWidth="1"/>
    <col min="5" max="5" width="203.85546875" bestFit="1" customWidth="1"/>
    <col min="6" max="6" width="204.42578125" customWidth="1"/>
    <col min="7" max="7" width="187.5703125" bestFit="1" customWidth="1"/>
    <col min="8" max="8" width="202.5703125" bestFit="1" customWidth="1"/>
    <col min="9" max="9" width="207.5703125" bestFit="1" customWidth="1"/>
    <col min="10" max="10" width="161.42578125" bestFit="1" customWidth="1"/>
    <col min="11" max="11" width="187.5703125" bestFit="1" customWidth="1"/>
    <col min="12" max="12" width="100.5703125" customWidth="1"/>
    <col min="13" max="13" width="140.140625" customWidth="1"/>
    <col min="14" max="14" width="171.42578125" bestFit="1" customWidth="1"/>
    <col min="15" max="15" width="97.5703125" bestFit="1" customWidth="1"/>
    <col min="16" max="17" width="150.5703125" customWidth="1"/>
    <col min="18" max="41" width="80.7109375" customWidth="1"/>
  </cols>
  <sheetData>
    <row r="1" spans="3:17" ht="39.950000000000003" customHeight="1" x14ac:dyDescent="0.25"/>
    <row r="2" spans="3:17" ht="39.950000000000003" customHeight="1" x14ac:dyDescent="3.45">
      <c r="C2" s="5" t="s">
        <v>1</v>
      </c>
      <c r="D2" s="5"/>
      <c r="E2" s="5"/>
      <c r="F2" s="5"/>
      <c r="G2" s="5"/>
    </row>
    <row r="3" spans="3:17" ht="39.950000000000003" customHeight="1" x14ac:dyDescent="3.45">
      <c r="C3" s="5"/>
      <c r="D3" s="5"/>
      <c r="E3" s="53" t="s">
        <v>2</v>
      </c>
      <c r="F3" s="53"/>
      <c r="G3" s="53"/>
      <c r="H3" s="53"/>
      <c r="I3" s="53"/>
      <c r="J3" s="54" t="s">
        <v>3</v>
      </c>
      <c r="K3" s="54"/>
      <c r="L3" s="54"/>
      <c r="M3" s="54"/>
      <c r="N3" s="54"/>
      <c r="O3" s="54"/>
      <c r="P3" s="4"/>
      <c r="Q3" s="4"/>
    </row>
    <row r="4" spans="3:17" ht="39.950000000000003" customHeight="1" x14ac:dyDescent="3.45">
      <c r="C4" s="5"/>
      <c r="D4" s="5"/>
      <c r="E4" s="53"/>
      <c r="F4" s="53"/>
      <c r="G4" s="53"/>
      <c r="H4" s="53"/>
      <c r="I4" s="53"/>
      <c r="J4" s="54"/>
      <c r="K4" s="54"/>
      <c r="L4" s="54"/>
      <c r="M4" s="54"/>
      <c r="N4" s="54"/>
      <c r="O4" s="54"/>
      <c r="P4" s="4"/>
      <c r="Q4" s="4"/>
    </row>
    <row r="5" spans="3:17" ht="39.950000000000003" customHeight="1" x14ac:dyDescent="3.45">
      <c r="C5" s="5"/>
      <c r="D5" s="5"/>
      <c r="E5" s="53"/>
      <c r="F5" s="53"/>
      <c r="G5" s="53"/>
      <c r="H5" s="53"/>
      <c r="I5" s="53"/>
      <c r="J5" s="54"/>
      <c r="K5" s="54"/>
      <c r="L5" s="54"/>
      <c r="M5" s="54"/>
      <c r="N5" s="54"/>
      <c r="O5" s="54"/>
      <c r="P5" s="4"/>
      <c r="Q5" s="4"/>
    </row>
    <row r="6" spans="3:17" ht="39.950000000000003" customHeight="1" x14ac:dyDescent="3.45">
      <c r="C6" s="5"/>
      <c r="D6" s="5"/>
      <c r="E6" s="53"/>
      <c r="F6" s="53"/>
      <c r="G6" s="53"/>
      <c r="H6" s="53"/>
      <c r="I6" s="53"/>
      <c r="J6" s="54"/>
      <c r="K6" s="54"/>
      <c r="L6" s="54"/>
      <c r="M6" s="54"/>
      <c r="N6" s="54"/>
      <c r="O6" s="54"/>
      <c r="P6" s="4"/>
      <c r="Q6" s="4"/>
    </row>
    <row r="7" spans="3:17" ht="39.950000000000003" customHeight="1" x14ac:dyDescent="3.45">
      <c r="C7" s="5"/>
      <c r="D7" s="5"/>
      <c r="E7" s="53"/>
      <c r="F7" s="53"/>
      <c r="G7" s="53"/>
      <c r="H7" s="53"/>
      <c r="I7" s="53"/>
      <c r="J7" s="54"/>
      <c r="K7" s="54"/>
      <c r="L7" s="54"/>
      <c r="M7" s="54"/>
      <c r="N7" s="54"/>
      <c r="O7" s="54"/>
      <c r="P7" s="4"/>
      <c r="Q7" s="4"/>
    </row>
    <row r="8" spans="3:17" ht="90" customHeight="1" x14ac:dyDescent="0.25"/>
    <row r="9" spans="3:17" ht="90" customHeight="1" x14ac:dyDescent="0.25">
      <c r="P9" s="55" t="s">
        <v>4</v>
      </c>
      <c r="Q9" s="55"/>
    </row>
    <row r="10" spans="3:17" ht="39.950000000000003" customHeight="1" x14ac:dyDescent="0.25">
      <c r="P10" s="55"/>
      <c r="Q10" s="55"/>
    </row>
    <row r="11" spans="3:17" ht="39.950000000000003" customHeight="1" x14ac:dyDescent="0.25">
      <c r="P11" s="55"/>
      <c r="Q11" s="55"/>
    </row>
    <row r="12" spans="3:17" ht="39.950000000000003" customHeight="1" x14ac:dyDescent="0.25">
      <c r="P12" s="55"/>
      <c r="Q12" s="55"/>
    </row>
    <row r="13" spans="3:17" ht="39.950000000000003" customHeight="1" x14ac:dyDescent="0.25">
      <c r="P13" s="56"/>
      <c r="Q13" s="56"/>
    </row>
    <row r="14" spans="3:17" ht="150" customHeight="1" x14ac:dyDescent="1.95">
      <c r="P14" s="3" t="s">
        <v>5</v>
      </c>
      <c r="Q14" s="30">
        <v>0.7</v>
      </c>
    </row>
    <row r="15" spans="3:17" ht="150" customHeight="1" x14ac:dyDescent="1.95">
      <c r="P15" s="3" t="s">
        <v>6</v>
      </c>
      <c r="Q15" s="30">
        <v>0.4</v>
      </c>
    </row>
    <row r="16" spans="3:17" ht="39.950000000000003" customHeight="1" x14ac:dyDescent="0.25"/>
    <row r="17" ht="39.950000000000003" customHeight="1" x14ac:dyDescent="0.25"/>
    <row r="18" ht="39.950000000000003" customHeight="1" x14ac:dyDescent="0.25"/>
    <row r="19" ht="39.950000000000003" customHeight="1" x14ac:dyDescent="0.25"/>
    <row r="20" ht="39.950000000000003" customHeight="1" x14ac:dyDescent="0.25"/>
    <row r="21" ht="60" customHeight="1" x14ac:dyDescent="0.25"/>
    <row r="22" ht="60" customHeight="1" x14ac:dyDescent="0.25"/>
    <row r="23" ht="60" customHeight="1" x14ac:dyDescent="0.25"/>
    <row r="24" ht="60" customHeight="1" x14ac:dyDescent="0.25"/>
    <row r="25" ht="60" customHeight="1" x14ac:dyDescent="0.25"/>
    <row r="26" ht="120" customHeight="1" x14ac:dyDescent="0.25"/>
    <row r="27" ht="120" customHeight="1" x14ac:dyDescent="0.25"/>
    <row r="28" ht="39.950000000000003" customHeight="1" x14ac:dyDescent="0.25"/>
    <row r="29" ht="39.950000000000003" customHeight="1" x14ac:dyDescent="0.25"/>
    <row r="30" ht="80.099999999999994" customHeight="1" x14ac:dyDescent="0.25"/>
    <row r="31" ht="80.099999999999994" customHeight="1" x14ac:dyDescent="0.25"/>
    <row r="32" ht="80.099999999999994" customHeight="1" x14ac:dyDescent="0.25"/>
    <row r="33" spans="5:17" ht="80.099999999999994" customHeight="1" x14ac:dyDescent="0.25"/>
    <row r="34" spans="5:17" ht="80.099999999999994" customHeight="1" x14ac:dyDescent="0.25"/>
    <row r="35" spans="5:17" ht="80.099999999999994" customHeight="1" x14ac:dyDescent="0.25">
      <c r="K35" s="1"/>
    </row>
    <row r="36" spans="5:17" ht="80.099999999999994" customHeight="1" x14ac:dyDescent="0.25"/>
    <row r="37" spans="5:17" ht="80.099999999999994" customHeight="1" x14ac:dyDescent="0.25"/>
    <row r="38" spans="5:17" ht="80.099999999999994" customHeight="1" x14ac:dyDescent="0.25"/>
    <row r="39" spans="5:17" ht="80.099999999999994" customHeight="1" x14ac:dyDescent="0.25"/>
    <row r="40" spans="5:17" ht="80.099999999999994" customHeight="1" x14ac:dyDescent="0.25"/>
    <row r="41" spans="5:17" ht="80.099999999999994" customHeight="1" x14ac:dyDescent="0.25">
      <c r="P41" s="51" t="s">
        <v>7</v>
      </c>
      <c r="Q41" s="51" t="s">
        <v>8</v>
      </c>
    </row>
    <row r="42" spans="5:17" ht="80.099999999999994" customHeight="1" x14ac:dyDescent="0.25">
      <c r="P42" s="51"/>
      <c r="Q42" s="51"/>
    </row>
    <row r="43" spans="5:17" ht="80.099999999999994" customHeight="1" x14ac:dyDescent="0.25">
      <c r="P43" s="51"/>
      <c r="Q43" s="51"/>
    </row>
    <row r="44" spans="5:17" ht="80.099999999999994" customHeight="1" x14ac:dyDescent="0.25">
      <c r="P44" s="52">
        <f>SUM(K47,K48,K50,K49,K51)</f>
        <v>36021.999999999993</v>
      </c>
      <c r="Q44" s="52" t="str">
        <f>INDEX($E$47:$E$51,MATCH(MAX($G$47:$G$51),$G$47:$G$51,0))</f>
        <v>Camembert</v>
      </c>
    </row>
    <row r="45" spans="5:17" ht="80.099999999999994" customHeight="1" x14ac:dyDescent="0.25">
      <c r="P45" s="52"/>
      <c r="Q45" s="52"/>
    </row>
    <row r="46" spans="5:17" ht="150" customHeight="1" x14ac:dyDescent="0.25">
      <c r="E46" s="7" t="s">
        <v>9</v>
      </c>
      <c r="F46" s="8" t="s">
        <v>10</v>
      </c>
      <c r="G46" s="9" t="s">
        <v>11</v>
      </c>
      <c r="H46" s="9" t="s">
        <v>12</v>
      </c>
      <c r="I46" s="10" t="s">
        <v>13</v>
      </c>
      <c r="J46" s="9" t="s">
        <v>14</v>
      </c>
      <c r="K46" s="9" t="s">
        <v>15</v>
      </c>
      <c r="O46" s="17"/>
      <c r="P46" s="17"/>
    </row>
    <row r="47" spans="5:17" ht="150" customHeight="1" x14ac:dyDescent="1.95">
      <c r="E47" s="18" t="s">
        <v>16</v>
      </c>
      <c r="F47" s="19">
        <v>28</v>
      </c>
      <c r="G47" s="20">
        <v>900</v>
      </c>
      <c r="H47" s="13">
        <f xml:space="preserve"> F47*$Q$14</f>
        <v>19.599999999999998</v>
      </c>
      <c r="I47" s="15">
        <f>H47*( 1+$Q$15)</f>
        <v>27.439999999999994</v>
      </c>
      <c r="J47" s="16">
        <f>I47-H47</f>
        <v>7.8399999999999963</v>
      </c>
      <c r="K47" s="14">
        <f xml:space="preserve"> G47*J47</f>
        <v>7055.9999999999964</v>
      </c>
      <c r="O47" s="17"/>
      <c r="P47" s="17"/>
      <c r="Q47" s="51" t="s">
        <v>17</v>
      </c>
    </row>
    <row r="48" spans="5:17" ht="150" customHeight="1" x14ac:dyDescent="1.95">
      <c r="E48" s="18" t="s">
        <v>18</v>
      </c>
      <c r="F48" s="19">
        <v>32</v>
      </c>
      <c r="G48" s="20">
        <v>850</v>
      </c>
      <c r="H48" s="13">
        <f xml:space="preserve"> F48*$Q$14</f>
        <v>22.4</v>
      </c>
      <c r="I48" s="15">
        <f>H48*( 1+$Q$15)</f>
        <v>31.359999999999996</v>
      </c>
      <c r="J48" s="16">
        <f>I48-H48</f>
        <v>8.9599999999999973</v>
      </c>
      <c r="K48" s="14">
        <f xml:space="preserve"> G48*J48</f>
        <v>7615.9999999999973</v>
      </c>
      <c r="M48" s="11"/>
      <c r="N48" s="11"/>
      <c r="Q48" s="51"/>
    </row>
    <row r="49" spans="5:17" ht="150" customHeight="1" x14ac:dyDescent="1.95">
      <c r="E49" s="18" t="s">
        <v>19</v>
      </c>
      <c r="F49" s="19">
        <v>35</v>
      </c>
      <c r="G49" s="20">
        <v>875</v>
      </c>
      <c r="H49" s="13">
        <f xml:space="preserve"> F49*$Q$14</f>
        <v>24.5</v>
      </c>
      <c r="I49" s="15">
        <f>H49*( 1+$Q$15)</f>
        <v>34.299999999999997</v>
      </c>
      <c r="J49" s="16">
        <f>I49-H49</f>
        <v>9.7999999999999972</v>
      </c>
      <c r="K49" s="14">
        <f xml:space="preserve"> G49*J49</f>
        <v>8574.9999999999982</v>
      </c>
      <c r="L49" s="11"/>
      <c r="M49" s="11"/>
      <c r="N49" s="11"/>
      <c r="P49" s="17"/>
      <c r="Q49" s="21" t="str">
        <f xml:space="preserve"> INDEX($E$47:$E$51, MATCH(MAX($J$47:$J$51), $J$47:$J$51, 0))</f>
        <v>Gruyere</v>
      </c>
    </row>
    <row r="50" spans="5:17" ht="150" customHeight="1" x14ac:dyDescent="1.95">
      <c r="E50" s="18" t="s">
        <v>20</v>
      </c>
      <c r="F50" s="19">
        <v>29</v>
      </c>
      <c r="G50" s="20">
        <v>825</v>
      </c>
      <c r="H50" s="13">
        <f xml:space="preserve"> F50*$Q$14</f>
        <v>20.299999999999997</v>
      </c>
      <c r="I50" s="15">
        <f>H50*( 1+$Q$15)</f>
        <v>28.419999999999995</v>
      </c>
      <c r="J50" s="16">
        <f>I50-H50</f>
        <v>8.1199999999999974</v>
      </c>
      <c r="K50" s="14">
        <f xml:space="preserve"> G50*J50</f>
        <v>6698.9999999999982</v>
      </c>
      <c r="L50" s="11"/>
      <c r="M50" s="12"/>
      <c r="N50" s="11"/>
    </row>
    <row r="51" spans="5:17" ht="150" customHeight="1" x14ac:dyDescent="1.95">
      <c r="E51" s="18" t="s">
        <v>21</v>
      </c>
      <c r="F51" s="19">
        <v>31</v>
      </c>
      <c r="G51" s="20">
        <v>700</v>
      </c>
      <c r="H51" s="13">
        <f xml:space="preserve"> F51*$Q$14</f>
        <v>21.7</v>
      </c>
      <c r="I51" s="15">
        <f>H51*( 1+$Q$15)</f>
        <v>30.379999999999995</v>
      </c>
      <c r="J51" s="16">
        <f>I51-H51</f>
        <v>8.6799999999999962</v>
      </c>
      <c r="K51" s="14">
        <f xml:space="preserve"> G51*J51</f>
        <v>6075.9999999999973</v>
      </c>
      <c r="L51" s="11"/>
      <c r="M51" s="11"/>
      <c r="N51" s="11"/>
    </row>
    <row r="52" spans="5:17" ht="80.099999999999994" customHeight="1" x14ac:dyDescent="1.4">
      <c r="M52" s="11"/>
      <c r="N52" s="11"/>
      <c r="O52" s="11"/>
    </row>
    <row r="53" spans="5:17" ht="129.94999999999999" customHeight="1" x14ac:dyDescent="1.4">
      <c r="M53" s="11"/>
      <c r="N53" s="11"/>
      <c r="O53" s="11"/>
      <c r="P53" s="6"/>
      <c r="Q53" s="6"/>
    </row>
    <row r="54" spans="5:17" ht="129.94999999999999" customHeight="1" x14ac:dyDescent="1.4">
      <c r="M54" s="11"/>
      <c r="N54" s="11"/>
      <c r="O54" s="11"/>
      <c r="P54" s="6"/>
      <c r="Q54" s="6"/>
    </row>
    <row r="55" spans="5:17" ht="129.94999999999999" customHeight="1" x14ac:dyDescent="1.4">
      <c r="M55" s="11"/>
      <c r="N55" s="11"/>
      <c r="O55" s="11"/>
      <c r="P55" s="6"/>
      <c r="Q55" s="6"/>
    </row>
    <row r="56" spans="5:17" ht="129.94999999999999" customHeight="1" x14ac:dyDescent="1.4">
      <c r="M56" s="11"/>
      <c r="N56" s="11"/>
      <c r="O56" s="11"/>
    </row>
    <row r="57" spans="5:17" ht="129.94999999999999" customHeight="1" x14ac:dyDescent="1.4">
      <c r="M57" s="11"/>
      <c r="N57" s="11"/>
      <c r="O57" s="11"/>
    </row>
    <row r="58" spans="5:17" ht="129.94999999999999" customHeight="1" x14ac:dyDescent="1.4">
      <c r="M58" s="11"/>
      <c r="N58" s="11"/>
      <c r="O58" s="11"/>
    </row>
    <row r="59" spans="5:17" ht="129.94999999999999" customHeight="1" x14ac:dyDescent="0.25"/>
    <row r="60" spans="5:17" ht="129.94999999999999" customHeight="1" x14ac:dyDescent="0.25"/>
    <row r="61" spans="5:17" ht="129.94999999999999" customHeight="1" x14ac:dyDescent="0.25"/>
    <row r="62" spans="5:17" ht="129.94999999999999" customHeight="1" x14ac:dyDescent="0.25"/>
    <row r="63" spans="5:17" ht="129.94999999999999" customHeight="1" x14ac:dyDescent="0.25"/>
    <row r="64" spans="5:17" ht="129.94999999999999" customHeight="1" x14ac:dyDescent="0.25"/>
    <row r="65" ht="129.94999999999999" customHeight="1" x14ac:dyDescent="0.25"/>
    <row r="66" ht="80.099999999999994" customHeight="1" x14ac:dyDescent="0.25"/>
    <row r="67" ht="80.099999999999994" customHeight="1" x14ac:dyDescent="0.25"/>
    <row r="68" ht="80.099999999999994" customHeight="1" x14ac:dyDescent="0.25"/>
    <row r="69" ht="80.099999999999994" customHeight="1" x14ac:dyDescent="0.25"/>
    <row r="70" ht="80.099999999999994" customHeight="1" x14ac:dyDescent="0.25"/>
    <row r="71" ht="80.099999999999994" customHeight="1" x14ac:dyDescent="0.25"/>
    <row r="72" ht="80.099999999999994" customHeight="1" x14ac:dyDescent="0.25"/>
    <row r="73" ht="80.099999999999994" customHeight="1" x14ac:dyDescent="0.25"/>
    <row r="74" ht="80.099999999999994" customHeight="1" x14ac:dyDescent="0.25"/>
    <row r="75" ht="80.099999999999994" customHeight="1" x14ac:dyDescent="0.25"/>
    <row r="76" ht="80.099999999999994" customHeight="1" x14ac:dyDescent="0.25"/>
    <row r="77" ht="80.099999999999994" customHeight="1" x14ac:dyDescent="0.25"/>
    <row r="78" ht="80.099999999999994" customHeight="1" x14ac:dyDescent="0.25"/>
    <row r="79" ht="80.099999999999994" customHeight="1" x14ac:dyDescent="0.25"/>
    <row r="80" ht="80.099999999999994" customHeight="1" x14ac:dyDescent="0.25"/>
    <row r="81" ht="80.099999999999994" customHeight="1" x14ac:dyDescent="0.25"/>
    <row r="82" ht="80.099999999999994" customHeight="1" x14ac:dyDescent="0.25"/>
    <row r="83" ht="80.099999999999994" customHeight="1" x14ac:dyDescent="0.25"/>
    <row r="84" ht="80.099999999999994" customHeight="1" x14ac:dyDescent="0.25"/>
    <row r="85" ht="80.099999999999994" customHeight="1" x14ac:dyDescent="0.25"/>
    <row r="86" ht="80.099999999999994" customHeight="1" x14ac:dyDescent="0.25"/>
    <row r="87" ht="80.099999999999994" customHeight="1" x14ac:dyDescent="0.25"/>
    <row r="88" ht="80.099999999999994" customHeight="1" x14ac:dyDescent="0.25"/>
    <row r="89" ht="80.099999999999994" customHeight="1" x14ac:dyDescent="0.25"/>
    <row r="90" ht="80.099999999999994" customHeight="1" x14ac:dyDescent="0.25"/>
    <row r="91" ht="80.099999999999994" customHeight="1" x14ac:dyDescent="0.25"/>
    <row r="92" ht="80.099999999999994" customHeight="1" x14ac:dyDescent="0.25"/>
    <row r="93" ht="80.099999999999994" customHeight="1" x14ac:dyDescent="0.25"/>
    <row r="94" ht="80.099999999999994" customHeight="1" x14ac:dyDescent="0.25"/>
    <row r="95" ht="80.099999999999994" customHeight="1" x14ac:dyDescent="0.25"/>
    <row r="96" ht="80.099999999999994" customHeight="1" x14ac:dyDescent="0.25"/>
    <row r="97" ht="80.099999999999994" customHeight="1" x14ac:dyDescent="0.25"/>
    <row r="98" ht="80.099999999999994" customHeight="1" x14ac:dyDescent="0.25"/>
    <row r="99" ht="80.099999999999994" customHeight="1" x14ac:dyDescent="0.25"/>
    <row r="100" ht="80.099999999999994" customHeight="1" x14ac:dyDescent="0.25"/>
    <row r="101" ht="80.099999999999994" customHeight="1" x14ac:dyDescent="0.25"/>
    <row r="102" ht="80.099999999999994" customHeight="1" x14ac:dyDescent="0.25"/>
    <row r="103" ht="80.099999999999994" customHeight="1" x14ac:dyDescent="0.25"/>
    <row r="104" ht="80.099999999999994" customHeight="1" x14ac:dyDescent="0.25"/>
    <row r="105" ht="80.099999999999994" customHeight="1" x14ac:dyDescent="0.25"/>
    <row r="106" ht="80.099999999999994" customHeight="1" x14ac:dyDescent="0.25"/>
    <row r="107" ht="80.099999999999994" customHeight="1" x14ac:dyDescent="0.25"/>
    <row r="108" ht="80.099999999999994" customHeight="1" x14ac:dyDescent="0.25"/>
    <row r="109" ht="80.099999999999994" customHeight="1" x14ac:dyDescent="0.25"/>
    <row r="110" ht="80.099999999999994" customHeight="1" x14ac:dyDescent="0.25"/>
    <row r="111" ht="80.099999999999994" customHeight="1" x14ac:dyDescent="0.25"/>
    <row r="112" ht="80.099999999999994" customHeight="1" x14ac:dyDescent="0.25"/>
    <row r="113" ht="80.099999999999994" customHeight="1" x14ac:dyDescent="0.25"/>
    <row r="114" ht="80.099999999999994" customHeight="1" x14ac:dyDescent="0.25"/>
    <row r="115" ht="80.099999999999994" customHeight="1" x14ac:dyDescent="0.25"/>
    <row r="116" ht="80.099999999999994" customHeight="1" x14ac:dyDescent="0.25"/>
    <row r="117" ht="80.099999999999994" customHeight="1" x14ac:dyDescent="0.25"/>
    <row r="118" ht="80.099999999999994" customHeight="1" x14ac:dyDescent="0.25"/>
    <row r="119" ht="80.099999999999994" customHeight="1" x14ac:dyDescent="0.25"/>
    <row r="120" ht="80.099999999999994" customHeight="1" x14ac:dyDescent="0.25"/>
    <row r="121" ht="80.099999999999994" customHeight="1" x14ac:dyDescent="0.25"/>
    <row r="122" ht="80.099999999999994" customHeight="1" x14ac:dyDescent="0.25"/>
    <row r="123" ht="80.099999999999994" customHeight="1" x14ac:dyDescent="0.25"/>
    <row r="124" ht="80.099999999999994" customHeight="1" x14ac:dyDescent="0.25"/>
    <row r="125" ht="80.099999999999994" customHeight="1" x14ac:dyDescent="0.25"/>
    <row r="126" ht="80.099999999999994" customHeight="1" x14ac:dyDescent="0.25"/>
    <row r="127" ht="80.099999999999994" customHeight="1" x14ac:dyDescent="0.25"/>
    <row r="128" ht="80.099999999999994" customHeight="1" x14ac:dyDescent="0.25"/>
    <row r="129" ht="80.099999999999994" customHeight="1" x14ac:dyDescent="0.25"/>
    <row r="130" ht="80.099999999999994" customHeight="1" x14ac:dyDescent="0.25"/>
    <row r="131" ht="80.099999999999994" customHeight="1" x14ac:dyDescent="0.25"/>
    <row r="132" ht="80.099999999999994" customHeight="1" x14ac:dyDescent="0.25"/>
    <row r="133" ht="80.099999999999994" customHeight="1" x14ac:dyDescent="0.25"/>
    <row r="134" ht="80.099999999999994" customHeight="1" x14ac:dyDescent="0.25"/>
    <row r="135" ht="80.099999999999994" customHeight="1" x14ac:dyDescent="0.25"/>
    <row r="136" ht="80.099999999999994" customHeight="1" x14ac:dyDescent="0.25"/>
    <row r="137" ht="80.099999999999994" customHeight="1" x14ac:dyDescent="0.25"/>
  </sheetData>
  <mergeCells count="8">
    <mergeCell ref="Q47:Q48"/>
    <mergeCell ref="P44:P45"/>
    <mergeCell ref="Q44:Q45"/>
    <mergeCell ref="E3:I7"/>
    <mergeCell ref="J3:O7"/>
    <mergeCell ref="P9:Q13"/>
    <mergeCell ref="Q41:Q43"/>
    <mergeCell ref="P41:P43"/>
  </mergeCells>
  <printOptions heading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94538-7874-41EE-9156-0C00804620E6}">
  <sheetPr>
    <tabColor theme="5" tint="-0.249977111117893"/>
  </sheetPr>
  <dimension ref="K1:X111"/>
  <sheetViews>
    <sheetView showGridLines="0" topLeftCell="O24" zoomScale="10" zoomScaleNormal="10" workbookViewId="0">
      <selection activeCell="U32" sqref="U32:U36"/>
    </sheetView>
  </sheetViews>
  <sheetFormatPr defaultRowHeight="15" x14ac:dyDescent="0.25"/>
  <cols>
    <col min="3" max="5" width="100.5703125" customWidth="1"/>
    <col min="6" max="6" width="237.5703125" bestFit="1" customWidth="1"/>
    <col min="7" max="7" width="227.5703125" bestFit="1" customWidth="1"/>
    <col min="8" max="9" width="100.5703125" customWidth="1"/>
    <col min="10" max="11" width="193.85546875" bestFit="1" customWidth="1"/>
    <col min="12" max="12" width="226.42578125" customWidth="1"/>
    <col min="13" max="13" width="98.85546875" bestFit="1" customWidth="1"/>
    <col min="14" max="14" width="153.85546875" bestFit="1" customWidth="1"/>
    <col min="15" max="15" width="218.85546875" bestFit="1" customWidth="1"/>
    <col min="16" max="16" width="106.42578125" bestFit="1" customWidth="1"/>
    <col min="17" max="17" width="193.85546875" bestFit="1" customWidth="1"/>
    <col min="18" max="18" width="207.5703125" bestFit="1" customWidth="1"/>
    <col min="19" max="19" width="83.85546875" bestFit="1" customWidth="1"/>
    <col min="20" max="20" width="215.140625" bestFit="1" customWidth="1"/>
    <col min="21" max="21" width="212.5703125" bestFit="1" customWidth="1"/>
    <col min="22" max="22" width="83.85546875" bestFit="1" customWidth="1"/>
    <col min="23" max="23" width="215.140625" bestFit="1" customWidth="1"/>
    <col min="24" max="24" width="212.5703125" bestFit="1" customWidth="1"/>
    <col min="25" max="65" width="100.5703125" customWidth="1"/>
  </cols>
  <sheetData>
    <row r="1" spans="13:24" ht="99.95" customHeight="1" x14ac:dyDescent="0.25"/>
    <row r="2" spans="13:24" ht="99.95" customHeight="1" x14ac:dyDescent="3.45">
      <c r="P2" s="27"/>
      <c r="S2" s="27"/>
      <c r="T2" s="27"/>
      <c r="U2" s="27"/>
      <c r="V2" s="27"/>
      <c r="W2" s="27"/>
    </row>
    <row r="3" spans="13:24" ht="233.25" x14ac:dyDescent="3.45">
      <c r="O3" s="27"/>
      <c r="P3" s="27"/>
      <c r="T3" s="57" t="s">
        <v>22</v>
      </c>
      <c r="U3" s="57"/>
      <c r="V3" s="57"/>
      <c r="W3" s="57"/>
      <c r="X3" s="57"/>
    </row>
    <row r="4" spans="13:24" ht="99.95" customHeight="1" x14ac:dyDescent="3.45">
      <c r="O4" s="27"/>
      <c r="P4" s="27"/>
      <c r="S4" s="27"/>
      <c r="T4" s="27"/>
      <c r="U4" s="27"/>
      <c r="V4" s="27"/>
      <c r="W4" s="27"/>
    </row>
    <row r="5" spans="13:24" ht="129.75" customHeight="1" x14ac:dyDescent="0.25"/>
    <row r="6" spans="13:24" ht="129.75" customHeight="1" x14ac:dyDescent="0.25"/>
    <row r="7" spans="13:24" ht="99.95" customHeight="1" x14ac:dyDescent="0.25">
      <c r="P7" s="49"/>
      <c r="Q7" s="49"/>
      <c r="R7" s="49"/>
      <c r="S7" s="49"/>
    </row>
    <row r="8" spans="13:24" ht="129.75" customHeight="1" x14ac:dyDescent="0.25">
      <c r="P8" s="49"/>
      <c r="Q8" s="49"/>
      <c r="R8" s="49"/>
      <c r="S8" s="49"/>
    </row>
    <row r="9" spans="13:24" ht="129.75" customHeight="1" x14ac:dyDescent="0.25">
      <c r="P9" s="49"/>
      <c r="Q9" s="49"/>
      <c r="R9" s="49"/>
      <c r="S9" s="49"/>
    </row>
    <row r="10" spans="13:24" ht="129.75" customHeight="1" x14ac:dyDescent="1.95">
      <c r="P10" s="49"/>
      <c r="Q10" s="47"/>
      <c r="R10" s="47"/>
      <c r="S10" s="49"/>
    </row>
    <row r="11" spans="13:24" ht="129.75" customHeight="1" x14ac:dyDescent="1.95">
      <c r="Q11" s="48"/>
      <c r="R11" s="48"/>
    </row>
    <row r="12" spans="13:24" ht="129.75" customHeight="1" x14ac:dyDescent="0.25">
      <c r="Q12" s="61" t="s">
        <v>23</v>
      </c>
      <c r="R12" s="61"/>
    </row>
    <row r="13" spans="13:24" ht="129.75" customHeight="1" x14ac:dyDescent="0.25">
      <c r="Q13" s="61"/>
      <c r="R13" s="61"/>
    </row>
    <row r="14" spans="13:24" ht="15" customHeight="1" x14ac:dyDescent="0.25">
      <c r="Q14" s="61"/>
      <c r="R14" s="61"/>
    </row>
    <row r="15" spans="13:24" ht="15" customHeight="1" x14ac:dyDescent="0.25">
      <c r="Q15" s="61"/>
      <c r="R15" s="61"/>
    </row>
    <row r="16" spans="13:24" ht="129.75" x14ac:dyDescent="0.25">
      <c r="M16" s="32"/>
      <c r="Q16" s="62"/>
      <c r="R16" s="62"/>
    </row>
    <row r="17" spans="11:24" ht="129.75" x14ac:dyDescent="0.25">
      <c r="M17" s="32"/>
      <c r="Q17" s="38" t="s">
        <v>25</v>
      </c>
      <c r="R17" s="44" t="str">
        <f>IF(R23&gt;FIXED!Q14,"decrease profit margin",IF(R24&lt;FIXED!Q15,"keep the same",IF(W35&lt;FIXED!P44,"decrease exchange rate","keep the same")))</f>
        <v>decrease profit margin</v>
      </c>
    </row>
    <row r="18" spans="11:24" x14ac:dyDescent="0.25">
      <c r="M18" s="33"/>
      <c r="Q18" s="37"/>
      <c r="R18" s="45"/>
    </row>
    <row r="19" spans="11:24" x14ac:dyDescent="0.25">
      <c r="M19" s="33"/>
    </row>
    <row r="20" spans="11:24" x14ac:dyDescent="0.25">
      <c r="M20" s="33"/>
      <c r="N20" s="33"/>
    </row>
    <row r="21" spans="11:24" x14ac:dyDescent="0.25">
      <c r="M21" s="33"/>
      <c r="N21" s="33"/>
      <c r="O21" s="33"/>
    </row>
    <row r="22" spans="11:24" ht="99.95" customHeight="1" x14ac:dyDescent="1.95">
      <c r="M22" s="33"/>
      <c r="N22" s="33"/>
      <c r="O22" s="33"/>
      <c r="Q22" s="43" t="s">
        <v>26</v>
      </c>
      <c r="R22" s="46"/>
    </row>
    <row r="23" spans="11:24" ht="129.75" x14ac:dyDescent="1.95">
      <c r="K23" s="34"/>
      <c r="L23" s="34"/>
      <c r="M23" s="33"/>
      <c r="N23" s="33"/>
      <c r="O23" s="33"/>
      <c r="Q23" s="35" t="s">
        <v>27</v>
      </c>
      <c r="R23" s="30">
        <v>0.71</v>
      </c>
    </row>
    <row r="24" spans="11:24" ht="129.75" x14ac:dyDescent="1.95">
      <c r="K24" s="34"/>
      <c r="L24" s="34"/>
      <c r="M24" s="33"/>
      <c r="N24" s="33"/>
      <c r="Q24" s="35" t="s">
        <v>24</v>
      </c>
      <c r="R24" s="30">
        <v>0.4</v>
      </c>
    </row>
    <row r="25" spans="11:24" ht="129.75" x14ac:dyDescent="1.95">
      <c r="M25" s="33"/>
      <c r="N25" s="33"/>
      <c r="Q25" s="36" t="s">
        <v>28</v>
      </c>
      <c r="R25" s="31">
        <v>20</v>
      </c>
    </row>
    <row r="26" spans="11:24" ht="129.75" x14ac:dyDescent="1.95">
      <c r="M26" s="33"/>
      <c r="N26" s="33"/>
      <c r="Q26" s="36" t="s">
        <v>29</v>
      </c>
      <c r="R26" s="31">
        <v>10</v>
      </c>
    </row>
    <row r="27" spans="11:24" ht="99.95" customHeight="1" x14ac:dyDescent="0.25">
      <c r="M27" s="33"/>
      <c r="N27" s="33"/>
    </row>
    <row r="28" spans="11:24" x14ac:dyDescent="0.25">
      <c r="M28" s="33"/>
      <c r="N28" s="33"/>
    </row>
    <row r="29" spans="11:24" x14ac:dyDescent="0.25">
      <c r="M29" s="33"/>
      <c r="N29" s="33"/>
    </row>
    <row r="30" spans="11:24" ht="99.95" customHeight="1" x14ac:dyDescent="0.25">
      <c r="M30" s="33"/>
      <c r="N30" s="33"/>
    </row>
    <row r="31" spans="11:24" ht="129.75" x14ac:dyDescent="1.95">
      <c r="M31" s="22" t="s">
        <v>30</v>
      </c>
      <c r="N31" s="22" t="s">
        <v>31</v>
      </c>
      <c r="O31" s="22" t="s">
        <v>12</v>
      </c>
      <c r="P31" s="23" t="s">
        <v>32</v>
      </c>
      <c r="Q31" s="22" t="s">
        <v>14</v>
      </c>
      <c r="R31" s="22" t="s">
        <v>15</v>
      </c>
      <c r="S31" s="22" t="s">
        <v>33</v>
      </c>
      <c r="T31" s="22" t="s">
        <v>34</v>
      </c>
      <c r="U31" s="22" t="s">
        <v>35</v>
      </c>
    </row>
    <row r="32" spans="11:24" ht="129.75" x14ac:dyDescent="0.25">
      <c r="M32" s="23" t="s">
        <v>16</v>
      </c>
      <c r="N32" s="63">
        <f>FIXED!I47-Table2[[#This Row],[Sales Price]]</f>
        <v>-0.39200000000000301</v>
      </c>
      <c r="O32" s="23">
        <f>FIXED!F47* $R$23</f>
        <v>19.88</v>
      </c>
      <c r="P32" s="23">
        <f>Table2[[#This Row],[Cost per Kilo in Pounds ]]*(1+$R$24)</f>
        <v>27.831999999999997</v>
      </c>
      <c r="Q32" s="66">
        <f>Table2[[#This Row],[Sales Price]] - Table2[[#This Row],[Cost per Kilo in Pounds ]]</f>
        <v>7.9519999999999982</v>
      </c>
      <c r="R32" s="23">
        <f xml:space="preserve"> FIXED!G47*Table2[[#This Row],[Profit Per Kg]]</f>
        <v>7156.7999999999984</v>
      </c>
      <c r="S32" s="65">
        <f>$R$26*N32*$R$25</f>
        <v>-78.400000000000603</v>
      </c>
      <c r="T32" s="24">
        <f>FIXED!G47+Table2[[#This Row],[Column1]]</f>
        <v>821.59999999999945</v>
      </c>
      <c r="U32" s="67">
        <f>T32 * Q32</f>
        <v>6533.3631999999943</v>
      </c>
      <c r="W32" s="59" t="s">
        <v>7</v>
      </c>
      <c r="X32" s="59" t="s">
        <v>36</v>
      </c>
    </row>
    <row r="33" spans="11:24" ht="129.75" x14ac:dyDescent="0.25">
      <c r="M33" s="23" t="s">
        <v>18</v>
      </c>
      <c r="N33" s="63">
        <f>FIXED!I48-Table2[[#This Row],[Sales Price]]</f>
        <v>-0.4480000000000004</v>
      </c>
      <c r="O33" s="23">
        <f>FIXED!F48* $R$23</f>
        <v>22.72</v>
      </c>
      <c r="P33" s="23">
        <f>Table2[[#This Row],[Cost per Kilo in Pounds ]]*(1+$R$24)</f>
        <v>31.807999999999996</v>
      </c>
      <c r="Q33" s="66">
        <f>Table2[[#This Row],[Sales Price]] - Table2[[#This Row],[Cost per Kilo in Pounds ]]</f>
        <v>9.0879999999999974</v>
      </c>
      <c r="R33" s="23">
        <f xml:space="preserve"> FIXED!G48*Table2[[#This Row],[Profit Per Kg]]</f>
        <v>7724.7999999999975</v>
      </c>
      <c r="S33" s="65">
        <f>$R$26*N33*$R$25</f>
        <v>-89.60000000000008</v>
      </c>
      <c r="T33" s="24">
        <f>FIXED!G48+Table2[[#This Row],[Column1]]</f>
        <v>760.39999999999986</v>
      </c>
      <c r="U33" s="67">
        <f>T33 * Q33</f>
        <v>6910.5151999999971</v>
      </c>
      <c r="W33" s="59"/>
      <c r="X33" s="59"/>
    </row>
    <row r="34" spans="11:24" ht="129.75" x14ac:dyDescent="0.25">
      <c r="M34" s="23" t="s">
        <v>19</v>
      </c>
      <c r="N34" s="64">
        <f>FIXED!I49-Table2[[#This Row],[Sales Price]]</f>
        <v>-0.48999999999999488</v>
      </c>
      <c r="O34" s="23">
        <f>FIXED!F49* $R$23</f>
        <v>24.849999999999998</v>
      </c>
      <c r="P34" s="26">
        <f>Table2[[#This Row],[Cost per Kilo in Pounds ]]*(1+$R$24)</f>
        <v>34.789999999999992</v>
      </c>
      <c r="Q34" s="66">
        <f>Table2[[#This Row],[Sales Price]] - Table2[[#This Row],[Cost per Kilo in Pounds ]]</f>
        <v>9.9399999999999942</v>
      </c>
      <c r="R34" s="25">
        <f xml:space="preserve"> FIXED!G49*Table2[[#This Row],[Profit Per Kg]]</f>
        <v>8697.4999999999945</v>
      </c>
      <c r="S34" s="65">
        <f>$R$26*N34*$R$25</f>
        <v>-97.999999999998977</v>
      </c>
      <c r="T34" s="24">
        <f>FIXED!G49+Table2[[#This Row],[Column1]]</f>
        <v>777.00000000000102</v>
      </c>
      <c r="U34" s="67">
        <f>T34 * Q34</f>
        <v>7723.3800000000056</v>
      </c>
      <c r="W34" s="59"/>
      <c r="X34" s="59"/>
    </row>
    <row r="35" spans="11:24" ht="150" customHeight="1" x14ac:dyDescent="0.25">
      <c r="M35" s="23" t="s">
        <v>20</v>
      </c>
      <c r="N35" s="64">
        <f>FIXED!I50-Table2[[#This Row],[Sales Price]]</f>
        <v>-0.40600000000000236</v>
      </c>
      <c r="O35" s="23">
        <f>FIXED!F50* $R$23</f>
        <v>20.59</v>
      </c>
      <c r="P35" s="26">
        <f>Table2[[#This Row],[Cost per Kilo in Pounds ]]*(1+$R$24)</f>
        <v>28.825999999999997</v>
      </c>
      <c r="Q35" s="66">
        <f>Table2[[#This Row],[Sales Price]] - Table2[[#This Row],[Cost per Kilo in Pounds ]]</f>
        <v>8.2359999999999971</v>
      </c>
      <c r="R35" s="25">
        <f xml:space="preserve"> FIXED!G50*Table2[[#This Row],[Profit Per Kg]]</f>
        <v>6794.699999999998</v>
      </c>
      <c r="S35" s="65">
        <f>$R$26*N35*$R$25</f>
        <v>-81.200000000000472</v>
      </c>
      <c r="T35" s="24">
        <f>FIXED!G50+Table2[[#This Row],[Column1]]</f>
        <v>743.7999999999995</v>
      </c>
      <c r="U35" s="67">
        <f>T35 * Q35</f>
        <v>6125.936799999994</v>
      </c>
      <c r="W35" s="60">
        <f xml:space="preserve"> SUM(R32, R33, R34, R35, R36)</f>
        <v>36536.599999999991</v>
      </c>
      <c r="X35" s="60">
        <f xml:space="preserve"> FIXED!P44</f>
        <v>36021.999999999993</v>
      </c>
    </row>
    <row r="36" spans="11:24" ht="150" customHeight="1" x14ac:dyDescent="0.25">
      <c r="M36" s="23" t="s">
        <v>21</v>
      </c>
      <c r="N36" s="64">
        <f>FIXED!I51-Table2[[#This Row],[Sales Price]]</f>
        <v>-0.43400000000000105</v>
      </c>
      <c r="O36" s="23">
        <f>FIXED!F51* $R$23</f>
        <v>22.009999999999998</v>
      </c>
      <c r="P36" s="26">
        <f>Table2[[#This Row],[Cost per Kilo in Pounds ]]*(1+$R$24)</f>
        <v>30.813999999999997</v>
      </c>
      <c r="Q36" s="66">
        <f>Table2[[#This Row],[Sales Price]] - Table2[[#This Row],[Cost per Kilo in Pounds ]]</f>
        <v>8.8039999999999985</v>
      </c>
      <c r="R36" s="23">
        <f xml:space="preserve"> FIXED!G51*Table2[[#This Row],[Profit Per Kg]]</f>
        <v>6162.7999999999993</v>
      </c>
      <c r="S36" s="65">
        <f>$R$26*N36*$R$25</f>
        <v>-86.80000000000021</v>
      </c>
      <c r="T36" s="24">
        <f>FIXED!G51+Table2[[#This Row],[Column1]]</f>
        <v>613.19999999999982</v>
      </c>
      <c r="U36" s="67">
        <f>T36 * Q36</f>
        <v>5398.6127999999972</v>
      </c>
      <c r="W36" s="60"/>
      <c r="X36" s="60"/>
    </row>
    <row r="38" spans="11:24" ht="124.5" customHeight="1" x14ac:dyDescent="0.25">
      <c r="P38" s="58" t="s">
        <v>37</v>
      </c>
      <c r="Q38" s="58"/>
      <c r="R38" s="58"/>
      <c r="S38" s="58"/>
      <c r="T38" s="58"/>
      <c r="U38" s="58"/>
      <c r="V38" s="58"/>
    </row>
    <row r="39" spans="11:24" ht="124.5" customHeight="1" x14ac:dyDescent="0.25">
      <c r="P39" s="58"/>
      <c r="Q39" s="58"/>
      <c r="R39" s="58"/>
      <c r="S39" s="58"/>
      <c r="T39" s="58"/>
      <c r="U39" s="58"/>
      <c r="V39" s="58"/>
    </row>
    <row r="40" spans="11:24" x14ac:dyDescent="0.25">
      <c r="P40" s="58"/>
      <c r="Q40" s="58"/>
      <c r="R40" s="58"/>
      <c r="S40" s="58"/>
      <c r="T40" s="58"/>
      <c r="U40" s="58"/>
      <c r="V40" s="58"/>
    </row>
    <row r="41" spans="11:24" x14ac:dyDescent="0.25">
      <c r="M41" s="33"/>
      <c r="N41" s="33"/>
    </row>
    <row r="42" spans="11:24" x14ac:dyDescent="0.25">
      <c r="M42" s="33"/>
      <c r="N42" s="33"/>
    </row>
    <row r="43" spans="11:24" ht="124.5" customHeight="1" x14ac:dyDescent="1.95">
      <c r="M43" s="33"/>
      <c r="N43" s="33"/>
      <c r="X43" s="22"/>
    </row>
    <row r="44" spans="11:24" ht="124.5" customHeight="1" x14ac:dyDescent="1.95">
      <c r="M44" s="33"/>
      <c r="N44" s="33"/>
      <c r="X44" s="22"/>
    </row>
    <row r="45" spans="11:24" ht="150" customHeight="1" x14ac:dyDescent="1.95">
      <c r="K45" s="17"/>
      <c r="M45" s="33"/>
      <c r="N45" s="33"/>
      <c r="X45" s="22"/>
    </row>
    <row r="46" spans="11:24" ht="156.75" x14ac:dyDescent="1.95">
      <c r="K46" s="17"/>
      <c r="M46" s="33"/>
      <c r="N46" s="33"/>
      <c r="X46" s="22"/>
    </row>
    <row r="47" spans="11:24" ht="14.25" customHeight="1" x14ac:dyDescent="1.95">
      <c r="M47" s="33"/>
      <c r="N47" s="33"/>
      <c r="X47" s="22"/>
    </row>
    <row r="48" spans="11:24" ht="156.75" x14ac:dyDescent="1.95">
      <c r="K48" s="17"/>
      <c r="M48" s="33"/>
      <c r="N48" s="33"/>
      <c r="X48" s="22"/>
    </row>
    <row r="49" spans="13:24" ht="99.95" customHeight="1" x14ac:dyDescent="1.95">
      <c r="M49" s="33"/>
      <c r="N49" s="33"/>
      <c r="X49" s="22"/>
    </row>
    <row r="50" spans="13:24" ht="99.95" customHeight="1" x14ac:dyDescent="1.95">
      <c r="M50" s="33"/>
      <c r="N50" s="33"/>
      <c r="X50" s="22"/>
    </row>
    <row r="51" spans="13:24" ht="99.95" customHeight="1" x14ac:dyDescent="1.95">
      <c r="X51" s="22"/>
    </row>
    <row r="52" spans="13:24" ht="99.95" customHeight="1" x14ac:dyDescent="1.95">
      <c r="N52" s="29"/>
      <c r="O52" s="22"/>
      <c r="X52" s="22"/>
    </row>
    <row r="53" spans="13:24" ht="99.95" customHeight="1" x14ac:dyDescent="1.95">
      <c r="X53" s="22"/>
    </row>
    <row r="54" spans="13:24" ht="99.95" customHeight="1" x14ac:dyDescent="1.95">
      <c r="X54" s="22"/>
    </row>
    <row r="55" spans="13:24" ht="99.95" customHeight="1" x14ac:dyDescent="1.95">
      <c r="X55" s="22"/>
    </row>
    <row r="56" spans="13:24" ht="99.95" customHeight="1" x14ac:dyDescent="1.95">
      <c r="X56" s="22"/>
    </row>
    <row r="57" spans="13:24" ht="99.95" customHeight="1" x14ac:dyDescent="1.95">
      <c r="X57" s="22"/>
    </row>
    <row r="58" spans="13:24" ht="99.95" customHeight="1" x14ac:dyDescent="0.25"/>
    <row r="59" spans="13:24" ht="99.95" customHeight="1" x14ac:dyDescent="0.25"/>
    <row r="60" spans="13:24" ht="99.95" customHeight="1" x14ac:dyDescent="0.25"/>
    <row r="61" spans="13:24" ht="99.95" customHeight="1" x14ac:dyDescent="0.25"/>
    <row r="62" spans="13:24" ht="99.95" customHeight="1" x14ac:dyDescent="0.25"/>
    <row r="63" spans="13:24" ht="99.95" customHeight="1" x14ac:dyDescent="0.25"/>
    <row r="64" spans="13:24" ht="99.95" customHeight="1" x14ac:dyDescent="0.25"/>
    <row r="65" ht="99.95" customHeight="1" x14ac:dyDescent="0.25"/>
    <row r="66" ht="99.95" customHeight="1" x14ac:dyDescent="0.25"/>
    <row r="67" ht="99.95" customHeight="1" x14ac:dyDescent="0.25"/>
    <row r="68" ht="99.95" customHeight="1" x14ac:dyDescent="0.25"/>
    <row r="69" ht="99.95" customHeight="1" x14ac:dyDescent="0.25"/>
    <row r="70" ht="99.95" customHeight="1" x14ac:dyDescent="0.25"/>
    <row r="71" ht="99.95" customHeight="1" x14ac:dyDescent="0.25"/>
    <row r="72" ht="99.95" customHeight="1" x14ac:dyDescent="0.25"/>
    <row r="73" ht="99.95" customHeight="1" x14ac:dyDescent="0.25"/>
    <row r="74" ht="99.95" customHeight="1" x14ac:dyDescent="0.25"/>
    <row r="75" ht="99.95" customHeight="1" x14ac:dyDescent="0.25"/>
    <row r="76" ht="99.95" customHeight="1" x14ac:dyDescent="0.25"/>
    <row r="77" ht="99.95" customHeight="1" x14ac:dyDescent="0.25"/>
    <row r="78" ht="99.95" customHeight="1" x14ac:dyDescent="0.25"/>
    <row r="79" ht="99.95" customHeight="1" x14ac:dyDescent="0.25"/>
    <row r="80" ht="99.95" customHeight="1" x14ac:dyDescent="0.25"/>
    <row r="81" ht="99.95" customHeight="1" x14ac:dyDescent="0.25"/>
    <row r="82" ht="99.95" customHeight="1" x14ac:dyDescent="0.25"/>
    <row r="83" ht="99.95" customHeight="1" x14ac:dyDescent="0.25"/>
    <row r="84" ht="99.95" customHeight="1" x14ac:dyDescent="0.25"/>
    <row r="85" ht="99.95" customHeight="1" x14ac:dyDescent="0.25"/>
    <row r="86" ht="99.95" customHeight="1" x14ac:dyDescent="0.25"/>
    <row r="87" ht="99.95" customHeight="1" x14ac:dyDescent="0.25"/>
    <row r="88" ht="99.95" customHeight="1" x14ac:dyDescent="0.25"/>
    <row r="89" ht="99.95" customHeight="1" x14ac:dyDescent="0.25"/>
    <row r="90" ht="99.95" customHeight="1" x14ac:dyDescent="0.25"/>
    <row r="91" ht="99.95" customHeight="1" x14ac:dyDescent="0.25"/>
    <row r="92" ht="99.95" customHeight="1" x14ac:dyDescent="0.25"/>
    <row r="93" ht="99.95" customHeight="1" x14ac:dyDescent="0.25"/>
    <row r="94" ht="99.95" customHeight="1" x14ac:dyDescent="0.25"/>
    <row r="95" ht="99.95" customHeight="1" x14ac:dyDescent="0.25"/>
    <row r="96" ht="99.95" customHeight="1" x14ac:dyDescent="0.25"/>
    <row r="97" ht="99.95" customHeight="1" x14ac:dyDescent="0.25"/>
    <row r="98" ht="99.95" customHeight="1" x14ac:dyDescent="0.25"/>
    <row r="99" ht="99.95" customHeight="1" x14ac:dyDescent="0.25"/>
    <row r="100" ht="99.95" customHeight="1" x14ac:dyDescent="0.25"/>
    <row r="101" ht="99.95" customHeight="1" x14ac:dyDescent="0.25"/>
    <row r="102" ht="99.95" customHeight="1" x14ac:dyDescent="0.25"/>
    <row r="103" ht="99.95" customHeight="1" x14ac:dyDescent="0.25"/>
    <row r="104" ht="99.95" customHeight="1" x14ac:dyDescent="0.25"/>
    <row r="105" ht="99.95" customHeight="1" x14ac:dyDescent="0.25"/>
    <row r="106" ht="99.95" customHeight="1" x14ac:dyDescent="0.25"/>
    <row r="107" ht="99.95" customHeight="1" x14ac:dyDescent="0.25"/>
    <row r="108" ht="99.95" customHeight="1" x14ac:dyDescent="0.25"/>
    <row r="109" ht="99.95" customHeight="1" x14ac:dyDescent="0.25"/>
    <row r="110" ht="99.95" customHeight="1" x14ac:dyDescent="0.25"/>
    <row r="111" ht="99.95" customHeight="1" x14ac:dyDescent="0.25"/>
  </sheetData>
  <mergeCells count="7">
    <mergeCell ref="T3:X3"/>
    <mergeCell ref="P38:V40"/>
    <mergeCell ref="W32:W34"/>
    <mergeCell ref="X32:X34"/>
    <mergeCell ref="W35:W36"/>
    <mergeCell ref="X35:X36"/>
    <mergeCell ref="Q12:R16"/>
  </mergeCells>
  <conditionalFormatting sqref="W35:W36">
    <cfRule type="expression" dxfId="13" priority="2">
      <formula xml:space="preserve"> $W$35 &gt; $X$35</formula>
    </cfRule>
    <cfRule type="expression" dxfId="12" priority="3">
      <formula xml:space="preserve"> $W$35 &lt; $X$35</formula>
    </cfRule>
  </conditionalFormatting>
  <conditionalFormatting sqref="W37">
    <cfRule type="cellIs" dxfId="11" priority="1" operator="greaterThan">
      <formula>$W$35&lt;$X$35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Cheese Type " error="Please select a cheese type from the drop down list" promptTitle="Select a cheese type " xr:uid="{366A7ABB-4452-4D4C-AF33-39CDFC627059}">
          <x14:formula1>
            <xm:f>cheese_dropdown!$A$1:$A$6</xm:f>
          </x14:formula1>
          <xm:sqref>M32:M36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5E293-AE01-48AD-AAA1-DDAF85CCC887}">
  <sheetPr>
    <tabColor theme="8"/>
  </sheetPr>
  <dimension ref="A1"/>
  <sheetViews>
    <sheetView showGridLines="0" tabSelected="1" topLeftCell="A12" zoomScale="51" zoomScaleNormal="51" workbookViewId="0">
      <selection activeCell="AJ41" sqref="AJ40:AJ4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14C9-C306-4C7D-A359-A2225009CE67}">
  <sheetPr>
    <tabColor theme="4" tint="0.39997558519241921"/>
  </sheetPr>
  <dimension ref="F3:I9"/>
  <sheetViews>
    <sheetView showGridLines="0" workbookViewId="0">
      <selection activeCell="G2" sqref="G2"/>
    </sheetView>
  </sheetViews>
  <sheetFormatPr defaultRowHeight="15" x14ac:dyDescent="0.25"/>
  <cols>
    <col min="6" max="6" width="11.7109375" bestFit="1" customWidth="1"/>
    <col min="7" max="7" width="33.5703125" bestFit="1" customWidth="1"/>
    <col min="8" max="8" width="11.42578125" bestFit="1" customWidth="1"/>
    <col min="9" max="9" width="15.42578125" bestFit="1" customWidth="1"/>
  </cols>
  <sheetData>
    <row r="3" spans="6:9" x14ac:dyDescent="0.25">
      <c r="F3" s="39" t="s">
        <v>38</v>
      </c>
      <c r="G3" s="39" t="s">
        <v>39</v>
      </c>
      <c r="H3" s="39" t="s">
        <v>40</v>
      </c>
      <c r="I3" s="39" t="s">
        <v>41</v>
      </c>
    </row>
    <row r="4" spans="6:9" x14ac:dyDescent="0.25">
      <c r="F4" s="40" t="s">
        <v>42</v>
      </c>
      <c r="G4" s="41" t="s">
        <v>43</v>
      </c>
      <c r="H4" s="42" t="b">
        <v>1</v>
      </c>
      <c r="I4" s="40" t="s">
        <v>44</v>
      </c>
    </row>
    <row r="5" spans="6:9" x14ac:dyDescent="0.25">
      <c r="F5" s="40" t="s">
        <v>45</v>
      </c>
      <c r="G5" s="41" t="s">
        <v>46</v>
      </c>
      <c r="H5" s="42" t="b">
        <v>1</v>
      </c>
      <c r="I5" s="40" t="s">
        <v>47</v>
      </c>
    </row>
    <row r="6" spans="6:9" x14ac:dyDescent="0.25">
      <c r="F6" s="40" t="s">
        <v>48</v>
      </c>
      <c r="G6" s="41" t="s">
        <v>49</v>
      </c>
      <c r="H6" s="42" t="b">
        <v>1</v>
      </c>
      <c r="I6" s="40" t="s">
        <v>48</v>
      </c>
    </row>
    <row r="7" spans="6:9" x14ac:dyDescent="0.25">
      <c r="F7" s="40" t="s">
        <v>50</v>
      </c>
      <c r="G7" s="41" t="s">
        <v>51</v>
      </c>
      <c r="H7" s="42" t="b">
        <v>1</v>
      </c>
      <c r="I7" s="40" t="s">
        <v>52</v>
      </c>
    </row>
    <row r="8" spans="6:9" x14ac:dyDescent="0.25">
      <c r="F8" s="40" t="s">
        <v>53</v>
      </c>
      <c r="G8" s="41" t="s">
        <v>54</v>
      </c>
      <c r="H8" s="42" t="b">
        <v>1</v>
      </c>
      <c r="I8" s="40" t="s">
        <v>55</v>
      </c>
    </row>
    <row r="9" spans="6:9" x14ac:dyDescent="0.25">
      <c r="F9" s="40" t="s">
        <v>56</v>
      </c>
      <c r="G9" s="41" t="s">
        <v>57</v>
      </c>
      <c r="H9" s="42" t="b">
        <v>1</v>
      </c>
      <c r="I9" s="40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1CD8-B627-4BD9-8ECF-4E144F0DAA51}">
  <sheetPr>
    <tabColor theme="3" tint="0.499984740745262"/>
  </sheetPr>
  <dimension ref="A2:A6"/>
  <sheetViews>
    <sheetView showGridLines="0" workbookViewId="0">
      <selection activeCell="D5" sqref="D5"/>
    </sheetView>
  </sheetViews>
  <sheetFormatPr defaultRowHeight="15" x14ac:dyDescent="0.25"/>
  <cols>
    <col min="1" max="1" width="11" customWidth="1"/>
  </cols>
  <sheetData>
    <row r="2" spans="1:1" x14ac:dyDescent="0.25">
      <c r="A2" t="s">
        <v>16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6E7D809E7C0E44A0B917423653AAB2" ma:contentTypeVersion="11" ma:contentTypeDescription="Create a new document." ma:contentTypeScope="" ma:versionID="8745d9455f6cb7dc22e6f4ae2924c588">
  <xsd:schema xmlns:xsd="http://www.w3.org/2001/XMLSchema" xmlns:xs="http://www.w3.org/2001/XMLSchema" xmlns:p="http://schemas.microsoft.com/office/2006/metadata/properties" xmlns:ns3="9a8bf480-45c7-4e3c-a26e-8e42b0cccb00" targetNamespace="http://schemas.microsoft.com/office/2006/metadata/properties" ma:root="true" ma:fieldsID="6933cb656246a3640488b6e19407d5c6" ns3:_="">
    <xsd:import namespace="9a8bf480-45c7-4e3c-a26e-8e42b0cccb0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bf480-45c7-4e3c-a26e-8e42b0cccb0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8bf480-45c7-4e3c-a26e-8e42b0cccb00" xsi:nil="true"/>
  </documentManagement>
</p:properties>
</file>

<file path=customXml/itemProps1.xml><?xml version="1.0" encoding="utf-8"?>
<ds:datastoreItem xmlns:ds="http://schemas.openxmlformats.org/officeDocument/2006/customXml" ds:itemID="{5366B6D3-9223-476E-B82A-747970A93F6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2F9E44-87C9-40E8-86E6-E60A3507CF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8bf480-45c7-4e3c-a26e-8e42b0ccc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AFDA1D8-7767-47F5-8C92-9D42E27EC115}">
  <ds:schemaRefs>
    <ds:schemaRef ds:uri="http://schemas.openxmlformats.org/package/2006/metadata/core-properties"/>
    <ds:schemaRef ds:uri="9a8bf480-45c7-4e3c-a26e-8e42b0cccb00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FIXED</vt:lpstr>
      <vt:lpstr>MODEL</vt:lpstr>
      <vt:lpstr>moodboard</vt:lpstr>
      <vt:lpstr>Time Plan</vt:lpstr>
      <vt:lpstr>cheese_dropdown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Emmanuella Erikume</dc:creator>
  <cp:keywords/>
  <dc:description/>
  <cp:lastModifiedBy>Emmanuella Erikume</cp:lastModifiedBy>
  <cp:revision/>
  <dcterms:created xsi:type="dcterms:W3CDTF">2025-06-09T21:27:38Z</dcterms:created>
  <dcterms:modified xsi:type="dcterms:W3CDTF">2025-06-14T10:15:09Z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0x010100CD6E7D809E7C0E44A0B917423653AAB2</vt:lpwstr>
  </property>
</Properties>
</file>